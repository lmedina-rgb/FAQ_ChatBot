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Github\FAQ_ChatBot\"/>
    </mc:Choice>
  </mc:AlternateContent>
  <xr:revisionPtr revIDLastSave="0" documentId="13_ncr:1_{CB2BE25A-501E-4BE6-BD0F-B4536FCB8A8B}" xr6:coauthVersionLast="47" xr6:coauthVersionMax="47" xr10:uidLastSave="{00000000-0000-0000-0000-000000000000}"/>
  <bookViews>
    <workbookView xWindow="-120" yWindow="-120" windowWidth="29040" windowHeight="15840" xr2:uid="{00000000-000D-0000-FFFF-FFFF00000000}"/>
  </bookViews>
  <sheets>
    <sheet name="Transcricoes" sheetId="1" r:id="rId1"/>
    <sheet name="Resumo por tema" sheetId="2" r:id="rId2"/>
    <sheet name="Resumo por estado" sheetId="3" r:id="rId3"/>
  </sheets>
  <definedNames>
    <definedName name="_xlnm._FilterDatabase" localSheetId="0" hidden="1">Transcricoes!$A$1:$L$49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2" i="3" l="1"/>
  <c r="B12" i="3"/>
  <c r="C11" i="3"/>
  <c r="B11" i="3"/>
  <c r="C10" i="3"/>
  <c r="B10" i="3"/>
  <c r="C9" i="3"/>
  <c r="B9" i="3"/>
  <c r="D9" i="3" s="1"/>
  <c r="C8" i="3"/>
  <c r="D8" i="3" s="1"/>
  <c r="B8" i="3"/>
  <c r="C7" i="3"/>
  <c r="B7" i="3"/>
  <c r="D7" i="3" s="1"/>
  <c r="C6" i="3"/>
  <c r="B6" i="3"/>
  <c r="D6" i="3" s="1"/>
  <c r="C5" i="3"/>
  <c r="D5" i="3" s="1"/>
  <c r="B5" i="3"/>
  <c r="C4" i="3"/>
  <c r="B4" i="3"/>
  <c r="D4" i="3" s="1"/>
  <c r="C3" i="3"/>
  <c r="B3" i="3"/>
  <c r="C2" i="3"/>
  <c r="B2" i="3"/>
  <c r="C17" i="2"/>
  <c r="D17" i="2" s="1"/>
  <c r="B17" i="2"/>
  <c r="C16" i="2"/>
  <c r="B16" i="2"/>
  <c r="D16" i="2" s="1"/>
  <c r="C15" i="2"/>
  <c r="B15" i="2"/>
  <c r="D15" i="2" s="1"/>
  <c r="C14" i="2"/>
  <c r="B14" i="2"/>
  <c r="D14" i="2" s="1"/>
  <c r="C13" i="2"/>
  <c r="B13" i="2"/>
  <c r="C12" i="2"/>
  <c r="B12" i="2"/>
  <c r="C11" i="2"/>
  <c r="B11" i="2"/>
  <c r="D11" i="2" s="1"/>
  <c r="C10" i="2"/>
  <c r="D10" i="2" s="1"/>
  <c r="B10" i="2"/>
  <c r="C9" i="2"/>
  <c r="B9" i="2"/>
  <c r="C8" i="2"/>
  <c r="B8" i="2"/>
  <c r="D8" i="2" s="1"/>
  <c r="C7" i="2"/>
  <c r="B7" i="2"/>
  <c r="D7" i="2" s="1"/>
  <c r="C6" i="2"/>
  <c r="B6" i="2"/>
  <c r="C5" i="2"/>
  <c r="B5" i="2"/>
  <c r="C4" i="2"/>
  <c r="B4" i="2"/>
  <c r="D4" i="2" s="1"/>
  <c r="C3" i="2"/>
  <c r="B3" i="2"/>
  <c r="D3" i="2" s="1"/>
  <c r="C2" i="2"/>
  <c r="B2" i="2"/>
  <c r="C13" i="3" l="1"/>
  <c r="D3" i="3"/>
  <c r="D2" i="3"/>
  <c r="D5" i="2"/>
  <c r="D12" i="2"/>
  <c r="D10" i="3"/>
  <c r="C18" i="2"/>
  <c r="D6" i="2"/>
  <c r="D9" i="2"/>
  <c r="D13" i="2"/>
  <c r="D11" i="3"/>
  <c r="B18" i="2"/>
  <c r="D2" i="2"/>
  <c r="D12" i="3"/>
  <c r="B13" i="3"/>
  <c r="D18" i="2" l="1"/>
  <c r="D13" i="3"/>
</calcChain>
</file>

<file path=xl/sharedStrings.xml><?xml version="1.0" encoding="utf-8"?>
<sst xmlns="http://schemas.openxmlformats.org/spreadsheetml/2006/main" count="479" uniqueCount="246">
  <si>
    <t>Nº</t>
  </si>
  <si>
    <t>Fonte</t>
  </si>
  <si>
    <t>Arquivo</t>
  </si>
  <si>
    <t>Data</t>
  </si>
  <si>
    <t>Município</t>
  </si>
  <si>
    <t>Estado</t>
  </si>
  <si>
    <t>Duração (s)</t>
  </si>
  <si>
    <t>Transcrição / pergunta</t>
  </si>
  <si>
    <t>Tema</t>
  </si>
  <si>
    <t>Tipo</t>
  </si>
  <si>
    <t>Resposta dada</t>
  </si>
  <si>
    <t>Observações</t>
  </si>
  <si>
    <t>Áudio avulso</t>
  </si>
  <si>
    <t>PTT-20260429-WA0041.opus</t>
  </si>
  <si>
    <t>Não informado</t>
  </si>
  <si>
    <t>Aqui na capacitação que a gente teve do SETE, a gente comentou sobre isso, o Willer, o Willer falou que realmente o SIGECON estava com problema, vocês aí no município de vocês já identificaram, o SIGECON já ficou bom porque aqui no município ainda não estão conseguindo acessar.</t>
  </si>
  <si>
    <t>Acesso ao SIGECON (FNDE)</t>
  </si>
  <si>
    <t>Problema de acesso</t>
  </si>
  <si>
    <t>Sem resposta registrada</t>
  </si>
  <si>
    <t>PTT-20260429-WA0067.opus</t>
  </si>
  <si>
    <t>Redline. Então... o último que eu consegui... e os meninos conseguirem inserir também... foi em 2022. Só que eles não estão nem conseguindo acessar.</t>
  </si>
  <si>
    <t>"Redline" não identificado – conferir no áudio.</t>
  </si>
  <si>
    <t>PTT-20260506-WA0128.opus</t>
  </si>
  <si>
    <t>Boa tarde, pessoal, tudo bem? Alguém já usa e tem algum modelo da regulamentação do transporte em algum município? Só para eu poder me orientar, para eu ver como que é mais ou menos, para eu começar a implantar aqui na minha cidade, porque aqui tem muitas coisas para regulamentar. Eu preciso saber por onde eu começo. Se vocês têm algum modelo para poder me passar.</t>
  </si>
  <si>
    <t>Regulamentação municipal do transporte escolar</t>
  </si>
  <si>
    <t>Pergunta</t>
  </si>
  <si>
    <t>PTT-20260507-WA0026.opus</t>
  </si>
  <si>
    <t>Olá, colegas, tudo bem? Espero que sim. Acontece uma coisa no meu município, eu gostaria de saber se com vocês acontece também. Meu município é grande, tem muitas fazendas longe da cidade aqui. A gente busca alunos, tem uns alunos que são de outro município, está lá na divisa e é mais perto para vir estar cá do que para o município e os pais verem matriculando no nosso município. As crianças estão matriculadas no nosso município, os pais até são eleitores do nosso município, é tudo nosso município, fazem compra no nosso município. Só quando a gente gera rota lá no Equilóquio, mostra que a residência é em outro município. Tem problema?</t>
  </si>
  <si>
    <t>Aluno de outro município / rota na divisa</t>
  </si>
  <si>
    <t>"Equilóquio" não identificado – conferir no áudio.</t>
  </si>
  <si>
    <t>PTT-20260507-WA0076.opus</t>
  </si>
  <si>
    <t>Porto dos Gaúchos</t>
  </si>
  <si>
    <t>MT</t>
  </si>
  <si>
    <t>Aqui em Porto dos Gaúchos transportamos universitário, porém essa é uma responsabilidade de outra secretaria. Transporte escolar e a educação em si não tem obrigatoriedade em nenhuma lei municipal para transporte. E como os ônibus que são cedidos pelo Estado são somente para alunos e rurais, a assistência social presta esse serviço com um veículo próprio da assistência com um motorista terceirizado.</t>
  </si>
  <si>
    <t>Uso dos veículos para universitários / outros públicos</t>
  </si>
  <si>
    <t>Relato / resposta</t>
  </si>
  <si>
    <t>Não se aplica – o próprio áudio é um relato/resposta de colega (ver transcrição).</t>
  </si>
  <si>
    <t>PTT-20260510-WA0054.opus</t>
  </si>
  <si>
    <t>Oi, bom dia. Não, você pode sim visitar as rotas, né? Junto com o motorista, marcar nos pontos de embarque. Aqui embarca quantos alunos? Aí ele vai falar, quais são os alunos? Marca o nome deles, tudo certinho, as coordenadas. E aí vai passar para o técnico, né? O técnico vai lançando as coordenadas no sistema. Aqui a gente faz assim, ó. Os motoristas já informam cada ponto que ele para para embarcar. Ali uma criança, ele já emite a coordenada de lá. Para mim que tocar na central. E aqui eu já insiro no sistema. É assim que a gente faz. Beleza? Agora a secretária também visita a rota. Para medir a rota certinha. E saber o que tem que ser feito. Só que no nosso caso aqui, os motoristas cumprem essa tarefa, né? Ele diz para mim quantas pontes tem, mata burso. E assim vai. O motorista tem que ser o seu ponto focal aí. Tem que passar as coordenadas já.</t>
  </si>
  <si>
    <t>SETE – rotas: traçado, georreferenciamento e turnos</t>
  </si>
  <si>
    <t>Resposta / boa prática</t>
  </si>
  <si>
    <t>"mata burso" = mata-burro.</t>
  </si>
  <si>
    <t>PTT-20260510-WA0073.opus</t>
  </si>
  <si>
    <t>Para funcionar a 100% tem que ser assim, aqui o aluno é matriculado, a escola já me passa a ficha do aluno e lá na escola já vai ser identificado qual é a linha que esse aluno vai estar utilizando. E aí eu já informo para o motorista que vai entrar tantos alunos na linha dele e às vezes os pais já trazem as coordenadas, se não traz o motorista já fica atento quando o menino embarcar o motorista já busca a coordenada ali e já passa para mim e aí já ensina o sistema. Quando o aluno também é transferido a escola tem que de imediato informar e eu já dou baixa no sistema, já informo para o meu motorista e assim vai tem que ter essa conexão aí motorista, técnico e escola se não o sistema não funciona 100%, quando você menos espera o aluno já saiu, já está no outro sistema do outro município, do outro região e dois, três meses depois que você vai saber qual aluno saiu, aí você fica informando errado por governo do estado, governo federal então aqui tem que funcionar assim, a escola avisa e eu dou baixa, olha, tal aluno foi transferido eu já dou baixa no sistema do governo federal e no transcolar estadual eu trabalho com os dois sistemas e atualizo os dois de imediato</t>
  </si>
  <si>
    <t>Cadastro de alunos</t>
  </si>
  <si>
    <t>Também trata de georreferenciamento de pontos.</t>
  </si>
  <si>
    <t>PTT-20260616-WA0015.opus</t>
  </si>
  <si>
    <t>Eu tenho uma rota do transporte escolar, uma rota rural, mesmo. Ela é longa e ela vai lá na divisa do município. Ela até pega um aluno que nem é do nosso município, então ela é bem longa... e canseira fazer ela novamente. Aí entraram mais... aumentaram mais... dois locais para pegar na rota. E eu vi que nos comentários, lá no dia do curso e tudo, o Marcos Ruiz uma vez me falou sobre isso, que tem como aumentar a rota lá pelo próprio SETE, no desenhar rotas. Alguém de vocês já viu algum vídeo de como faz essa alteração? Porque eu tentei aqui naqueles ícones do SETE lá... eu só não consegui. Vocês sabem como é que faz essa alteração? Vocês conhecem algum vídeo na internet que explica como faz?</t>
  </si>
  <si>
    <t>Também cita aluno de outro município.</t>
  </si>
  <si>
    <t>PTT-20260617-WA0058.opus</t>
  </si>
  <si>
    <t>(vazio)</t>
  </si>
  <si>
    <t>(sem conteúdo)</t>
  </si>
  <si>
    <t>—</t>
  </si>
  <si>
    <t>Não se aplica</t>
  </si>
  <si>
    <t>Transcrição vazia: sem fala reconhecível. Verificar manualmente.</t>
  </si>
  <si>
    <t>PTT-20260623-WA0023.opus</t>
  </si>
  <si>
    <t>Geralmente, o pessoal muitas vezes trabalha com o transporte escolar e essa mesma pessoa insere a prestação de contas no sistema do Banco do Brasil de Bebê Gestão Ágil. Alguém aqui trabalha com esse sistema insere? Vocês notaram que tem no campo, ou se insere a chave de acesso da nota fiscal, ele carrega as informações, e uma das informações é o valor do documento, a gente não tem a opção de preencher, auto preencher pelo sistema, e esse valor do documento está ficando sempre zerado. Vocês perceberam isso? Vocês estão notando? Será que isso vai dar problema para a gente depois?</t>
  </si>
  <si>
    <t>PNATE – prestação de contas (BB Gestão Ágil)</t>
  </si>
  <si>
    <t>"Bebê Gestão Ágil" = BB Gestão Ágil.</t>
  </si>
  <si>
    <t>PTT-20260805-WA0050.opus</t>
  </si>
  <si>
    <t>Bom dia. Eu estou precisando imprimir a lista de alunos de cada rota, separado. Como que eu faço para imprimir a quantidade de alunos, sair o nome dos alunos certinho de cada rota? Alguém poderia me dar um help aí, por favor?</t>
  </si>
  <si>
    <t>SETE – relatórios e impressão</t>
  </si>
  <si>
    <t>Um colega (Marcos) respondeu por outro canal; o WA0079 confirma que funcionou, mas o conteúdo da resposta não está nos áudios.</t>
  </si>
  <si>
    <t>PTT-20260805-WA0079.opus</t>
  </si>
  <si>
    <t>Obrigada, Marcos, porque eu estava indo por rotas e quando a gente vai por rotas, a gente não consegue, os alunos todos não conseguem copiar e nem colar, e não conseguia imprimir certinho, sabe, para passar para o Secretário do Transporte para organizar lá a planilha, mas agora, voltando ao almoço, eu vou tentar lá fazer, tá? Obrigadão, viu?</t>
  </si>
  <si>
    <t>Relato / agradecimento</t>
  </si>
  <si>
    <t>Não se aplica – o áudio é o agradecimento pela resposta ao WA0050.</t>
  </si>
  <si>
    <t>Continuação de WA0050.</t>
  </si>
  <si>
    <t>PTT-20260806-WA0099.opus</t>
  </si>
  <si>
    <t>Boa tarde pessoas, eu estou precisando imprimir o mapa da rota em PDF para me passar para a prefeitura. Como que eu faço para imprimir esse mapa da rota em PDF? Se alguém puder me ajudar aí, valeu, viu Marcos? O outro deu certo. Agora esse aqui, o mapa da rota eu tomei a perdida. Obrigada. Boa tarde, bom trabalho a todos.</t>
  </si>
  <si>
    <t>Conversa CECATE</t>
  </si>
  <si>
    <t>Conversa do WhatsApp com +55 19 93300-4500.zip</t>
  </si>
  <si>
    <t>Santo Antônio de Posse</t>
  </si>
  <si>
    <t>SP</t>
  </si>
  <si>
    <t>Aqui no município nós recebemos o PNATE, porém não utilizamos o SETE. Gostaria de saber se vocês disponibilizam alguma capacitação de uso do sistema.</t>
  </si>
  <si>
    <t>Capacitações do CECATE</t>
  </si>
  <si>
    <t>Sim, o CECATE oferece capacitação; acompanhar a divulgação no site https://cecate.fct.ufg.br/.</t>
  </si>
  <si>
    <t>FAQ 5.1.</t>
  </si>
  <si>
    <t>Conversa do WhatsApp com +55 32 8425-3508.zip</t>
  </si>
  <si>
    <t>Guidoval</t>
  </si>
  <si>
    <t>MG</t>
  </si>
  <si>
    <t>Não estou conseguindo cadastrar um monitor. [...] Fica aparecendo esse aviso, já tentei vários dias. Conferi o CPF pra ver se tinha algum igual no sistema, mas não encontrei. [Print: "ERRO AO SALVAR O MONITOR. O CPF INFORMADO JÁ EXISTE!"]</t>
  </si>
  <si>
    <t>SETE – cadastro de motoristas e monitores</t>
  </si>
  <si>
    <t>Problema de cadastro</t>
  </si>
  <si>
    <t>Não houve orientação técnica: a usuária percebeu que tinha procurado a região errada. FAQ 3.2.</t>
  </si>
  <si>
    <t>Me desculpa, agora que vi que entrei em contato com a região errada.</t>
  </si>
  <si>
    <t>Canais de suporte</t>
  </si>
  <si>
    <t>Dúvida de atendimento</t>
  </si>
  <si>
    <t>MG é atendido pelo suporte da Região Sudeste (+55 34 8407-7958), conforme a mensagem de erro do SETE. FAQ 14.1.</t>
  </si>
  <si>
    <t>Conversa do WhatsApp com +55 35 9816-5687.zip</t>
  </si>
  <si>
    <t>Alfenas</t>
  </si>
  <si>
    <t>Está saindo essa msg pra mim. [Print: "ACESSO INVÁLIDO"] Eu sempre acessei pelo aplicativo que baixaram no notebook, pelo gov nunca tentei. [...] Tentei pelo gov e pela credencial, nenhuma está dando certo.</t>
  </si>
  <si>
    <t>SETE – erros de login, instabilidade e versão desktop</t>
  </si>
  <si>
    <t>Tentar pela versão web com login gov.br. Depois o CECATE informou que havia instabilidade geral e que a equipe estava trabalhando para resolver.</t>
  </si>
  <si>
    <t>Instabilidade de 07/04/2026. FAQ 2.2 e 2.3.</t>
  </si>
  <si>
    <t>Estou com um problema somente para cadastrar os monitores, não está aceitando. O que faço? [Print: "ERRO AO SALVAR O MONITOR. FALHA AO INSERIR O REGISTRO... COLUMN "CRIADO_POR" OF RELATION "SETE_MONITORES" DOES NOT EXIST"]</t>
  </si>
  <si>
    <t>O CECATE pediu vídeo e prints de como o cadastro estava sendo preenchido.</t>
  </si>
  <si>
    <t>Em 10/04 a usuária informou que voltou a funcionar (falha interna do sistema). FAQ 3.4.</t>
  </si>
  <si>
    <t>No sistema cadastramos somente alunos do município?</t>
  </si>
  <si>
    <t>Estaduais e federais também: devem ser cadastrados todos os alunos que usam o transporte escolar.</t>
  </si>
  <si>
    <t>FAQ 7.1.</t>
  </si>
  <si>
    <t>Conversa do WhatsApp com +55 44 8417-6177.zip</t>
  </si>
  <si>
    <t>PR</t>
  </si>
  <si>
    <t>Fiz o cadastro no SETE, porém eu não vi que tinha que ser email institucional e coloquei meu gmail. Como faço para poder alterar e ter acesso ao sistema? [...] Não tem gestor cadastrado, eu fiz o primeiro cadastro.</t>
  </si>
  <si>
    <t>SETE – acesso e gestão de usuários</t>
  </si>
  <si>
    <t>O gestor consegue editar o e-mail na parte de edição de usuários.</t>
  </si>
  <si>
    <t>Estado inferido pelo DDD. A conversa terminou sem solução: não havia gestor cadastrado. FAQ 1.5.</t>
  </si>
  <si>
    <t>Conversa do WhatsApp com +55 44 9903-3838.zip</t>
  </si>
  <si>
    <t>Paranavaí</t>
  </si>
  <si>
    <t>Estamos tentando acessar o SETE mas está aparecendo esta msg, o responsável à época não está mais no cargo e não temos mais acesso. [Print: "O EMAIL INFORMADO JÁ EXISTE. VERIFIQUE E TENTE NOVAMENTE!"]</t>
  </si>
  <si>
    <t>Para se cadastrar no SETE, agora o(a) secretário(a) de Educação precisa se cadastrar no Habilita+ (tutorial: https://www.gov.br/fnde/pt-br/assuntos/sistemas/habilita). A partir desse acesso, ele(a) habilita, remove ou adiciona os demais usuários. O acesso por e-mail está sendo retirado aos poucos; no futuro, será só pelo gov.br.</t>
  </si>
  <si>
    <t>FAQ 1.1 e 1.2.</t>
  </si>
  <si>
    <t>Conversa do WhatsApp com +55 48 9834-0230.zip</t>
  </si>
  <si>
    <t>Siderópolis</t>
  </si>
  <si>
    <t>SC</t>
  </si>
  <si>
    <t>Estou com problema no cadastro de um servidor. [prints não exportados] Ele não trabalha mais no Município de Treviso.</t>
  </si>
  <si>
    <t>O CECATE só pediu a identificação. Os prints não vieram na exportação. FAQ 3.2.</t>
  </si>
  <si>
    <t>Conversa do WhatsApp com +55 51 9315-5417.zip</t>
  </si>
  <si>
    <t>Igrejinha</t>
  </si>
  <si>
    <t>RS</t>
  </si>
  <si>
    <t>Estou com problema para cadastrar no programa SETE. [...] Pela manhã não dava este erro, mas não cadastrava o motorista; agora está apresentando o erro. [Print: "ERRO AO SALVAR O MOTORISTA."]</t>
  </si>
  <si>
    <t>Enviar prints de todas as abas preenchidas; alocar o motorista em uma rota qualquer e tentar salvar; verificar com o motorista se ele já trabalhou como motorista em outro lugar e se já foi cadastrado no SETE antes.</t>
  </si>
  <si>
    <t>Parte da resposta foi dada em áudio (transcrito em dados/transcricoes/conversas). O erro persistiu após vincular a rota. FAQ 3.1.</t>
  </si>
  <si>
    <t>Conversa do WhatsApp com +55 51 9364-9072.zip</t>
  </si>
  <si>
    <t>Estou tentando acessar o SETE versão Desktop usando meu acesso do Gov.BR e aparece uma mensagem de erro. [Print: "UNEXPECTED TOKEN 'E', "EYJPZF91C3"... IS NOT VALID JSON"]</t>
  </si>
  <si>
    <t>Atualizar o SETE desktop para a última versão.</t>
  </si>
  <si>
    <t>Estado inferido pelo DDD. O usuário resolveu. FAQ 2.1.</t>
  </si>
  <si>
    <t>Conversa do WhatsApp com +55 53 8158-5772.zip</t>
  </si>
  <si>
    <t>Canguçu</t>
  </si>
  <si>
    <t>Fiz a instalação do SETE no desktop Windows 11, aparece a mensagem abaixo. [...] Instalei a versão 5.0.0, tem mais recente? Onde eu encontro?</t>
  </si>
  <si>
    <t>Instalar a nova versão: já existe a 5.1.0, disponível em https://www.gov.br/fnde/pt-br/acesso-a-informacao/acoes-e-programas/programas/pnate/sete-sistema-eletronico-de-gestao-do-transporte-escolar-versao-desktop</t>
  </si>
  <si>
    <t>FAQ 2.1.</t>
  </si>
  <si>
    <t>Conversa do WhatsApp com +55 54 9625-6450.zip</t>
  </si>
  <si>
    <t>Santo Antônio do Palma</t>
  </si>
  <si>
    <t>Preciso de um acesso ao SETE. [...] Estou substituindo [o servidor anterior], que não é mais servidor responsável por este setor.</t>
  </si>
  <si>
    <t>Para se cadastrar no SETE, agora o(a) secretário(a) de Educação precisa se cadastrar no Habilita+ (tutorial: https://www.gov.br/fnde/pt-br/assuntos/sistemas/habilita); com esse acesso, ele(a) habilita os demais usuários.</t>
  </si>
  <si>
    <t>Vínculo informado: CACS. FAQ 1.1.</t>
  </si>
  <si>
    <t>Conversa do WhatsApp com +55 54 9683-5491.zip</t>
  </si>
  <si>
    <t>Gentil</t>
  </si>
  <si>
    <t>Preciso excluir um usuário que não faz mais parte do quadro de funcionários, porém o sistema apresenta um erro. [Print: "ERRO AO REMOVER O USUÁRIO"] Desativei o usuário, porém mesmo assim não consigo remover do sistema.</t>
  </si>
  <si>
    <t>Problema no sistema</t>
  </si>
  <si>
    <t>Tentar reativar o usuário e depois excluir; se não der certo, mudar o papel para Leitor ou Editor e tentar remover. Como o erro persistiu, o CECATE pediu um vídeo do erro e o e-mail vinculado e encaminhou o caso à equipe técnica.</t>
  </si>
  <si>
    <t>Sem retorno registrado da equipe técnica. FAQ 1.4.</t>
  </si>
  <si>
    <t>Conversa do WhatsApp com +55 55 9718-2526.zip</t>
  </si>
  <si>
    <t>Humaitá</t>
  </si>
  <si>
    <t>Quando vou confirmar dá erro às vezes para uns condutores, e daí eu esperava uma meia hora daí funcionava. Queria saber se era normal. [...] Um outro não está querendo ser vinculado. [Print: "O CPF INFORMADO JÁ EXISTE. MUNICÍPIO: SEDE NOVA/RS."]</t>
  </si>
  <si>
    <t>Sobre o erro intermitente: provavelmente é do sistema. Sobre o CPF já cadastrado em Sede Nova/RS: entrar em contato com a prefeitura anterior e pedir que removam o motorista. Como ele trabalha nos dois municípios, o CECATE levou o caso ao TI e, em 28/04, indicou a CMATE/FNDE como responsável.</t>
  </si>
  <si>
    <t>Sem solução registrada até 28/04/2026. FAQ 3.1, 3.2 e 3.3.</t>
  </si>
  <si>
    <t>Eu preciso fazer uma rota para cada turno ou eu posso colocar uma rota só marcando manhã, tarde e noite? [...] Nós temos o km total do dia, eu teria que dividir por 3 ou posso colocar o valor cheio, tipo 75 km diário ou 25 cada rota?</t>
  </si>
  <si>
    <t>Cadastrar uma rota só, informando a quilometragem uma vez e marcando manhã, tarde e noite. Informar a quilometragem de um percurso: 25 km, não 75 km.</t>
  </si>
  <si>
    <t>Validar: o município não tem turno noturno e mesmo assim foi orientado a marcar as três opções. FAQ 4.3.</t>
  </si>
  <si>
    <t>Conversa do WhatsApp com +55 62 8603-4910.zip</t>
  </si>
  <si>
    <t>São Simão</t>
  </si>
  <si>
    <t>GO</t>
  </si>
  <si>
    <t>Não consigo acessar o sistema.</t>
  </si>
  <si>
    <t>Está havendo uma instabilidade; a equipe está trabalhando para resolver.</t>
  </si>
  <si>
    <t>Instabilidade de 07/04/2026. FAQ 2.2.</t>
  </si>
  <si>
    <t>Conversa do WhatsApp com +55 63 9245-8809.zip</t>
  </si>
  <si>
    <t>Mateiros</t>
  </si>
  <si>
    <t>TO</t>
  </si>
  <si>
    <t>Sou a técnica do transporte escolar [...] e não estou conseguindo cadastrar os monitores. [...] Não salva.</t>
  </si>
  <si>
    <t>Vincular o monitor a pelo menos uma rota e tentar salvar.</t>
  </si>
  <si>
    <t>FAQ 3.1.</t>
  </si>
  <si>
    <t>Conversa do WhatsApp com +55 64 8103-5684.zip</t>
  </si>
  <si>
    <t>O SETE está com os dados da secretaria e não os meus. [A usuária entrava com o login gov.br do secretário de Educação.]</t>
  </si>
  <si>
    <t>Não é recomendado entrar com o login de outra pessoa: cada um deve ter o próprio login, e o secretário (cadastrado no Habilita+) deve cadastrar o usuário. Limpar histórico, cache e cookies e fazer o login de novo.</t>
  </si>
  <si>
    <t>Estado inferido pelo DDD. FAQ 1.6.</t>
  </si>
  <si>
    <t>O SETE está com problema no login com o gov.br. [versão web; vídeo enviado]</t>
  </si>
  <si>
    <t>Trocar de navegador (usar o Edge) e aguardar um pouco. Depois o CECATE informou que havia instabilidade geral e que a equipe estava trabalhando para resolver.</t>
  </si>
  <si>
    <t>Estado inferido pelo DDD. Instabilidade de 07/04/2026. FAQ 2.2.</t>
  </si>
  <si>
    <t>Conversa do WhatsApp com +55 64 8435-8764.zip</t>
  </si>
  <si>
    <t>Buriti Alegre</t>
  </si>
  <si>
    <t>Precisamos excluir [a usuária anterior] e me cadastrar no sistema para organizá-lo. Tentei me cadastrar e apareceu esta tela. [...] Tentei excluir [...] e apareceu esta.</t>
  </si>
  <si>
    <t>O secretário de Educação deve se cadastrar no Habilita+ (tutorial: https://www.gov.br/fnde/pt-br/assuntos/sistemas/habilita); depois ele terá acesso Admin ao SETE e poderá adicionar quem quiser.</t>
  </si>
  <si>
    <t>FAQ 1.1 e 1.3.</t>
  </si>
  <si>
    <t>Conversa do WhatsApp com +55 64 9318-3209.zip</t>
  </si>
  <si>
    <t>Perolândia</t>
  </si>
  <si>
    <t>[Áudio] Eu tentei começar a cadastrar os alunos, mas não abriu pra começar no cadastro. Ele já abriu lá pra gente inserir as rotas. [...] O que eu tenho que fazer para inserir os alunos? [Áudio] Quando o aluno não tem o comprovante de endereço, eles não têm acesso ao talão de energia para pegar a unidade consumidora. [...] O sistema não conclui sem esses dados.</t>
  </si>
  <si>
    <t>Para cadastrar aluno: menu do lado esquerdo → Alunos → Cadastrar. O SETE não exige unidade consumidora; o endereço é opcional. Pedir ao pai do aluno as coordenadas da casa para georreferenciar. O CECATE também pediu print ou vídeo da tela.</t>
  </si>
  <si>
    <t>Pergunta e resposta em áudio (transcritas em dados/transcricoes/conversas). Depois a usuária esclareceu que a unidade consumidora era de outro sistema. FAQ 7.2 e 4.2.</t>
  </si>
  <si>
    <t>A internet aqui está ruim, não quer abrir o sistema. [...] Ele abre normalmente a tela de acesso, mas não aceita digitar.</t>
  </si>
  <si>
    <t>O CECATE disse que não consegue ajudar no outro sistema e pediu um vídeo do erro do SETE.</t>
  </si>
  <si>
    <t>O problema coincidiu com internet ruim no município. FAQ 2.4.</t>
  </si>
  <si>
    <t>Conversa do WhatsApp com +55 64 9324-9010.zip</t>
  </si>
  <si>
    <t>Gouvelândia</t>
  </si>
  <si>
    <t>Fiz minha inscrição, quero saber se tenho que ir os dois dias? Pois moro longe de Jataí.</t>
  </si>
  <si>
    <t>Somente um dia: cada cidade tem o seu dia, conforme o site (https://cecate.fct.ufg.br/p/60175-14-capacitacao-jatai).</t>
  </si>
  <si>
    <t>FAQ 5.2.</t>
  </si>
  <si>
    <t>Conversa do WhatsApp com +55 64 9976-5379.zip</t>
  </si>
  <si>
    <t>Não consigo finalizar minha inscrição.</t>
  </si>
  <si>
    <t>Problema de inscrição</t>
  </si>
  <si>
    <t>Adicionar mais um 9 no início do número e apagar o espaço entre o parêntese e o 9.</t>
  </si>
  <si>
    <t>Estado inferido pelo DDD. FAQ 5.4.</t>
  </si>
  <si>
    <t>Conversa do WhatsApp com +55 66 9204-2256.zip</t>
  </si>
  <si>
    <t>Estou com problemas pra entrar na plataforma. Já fiz o registro na plataforma, porém não tive retorno. [...] Foi pra análise e não obtive resposta. Como fazer pra recuperar meu acesso?</t>
  </si>
  <si>
    <t>Estado inferido pelo DDD. O CECATE perguntou como o registro foi feito e pediu a identificação. FAQ 1.7.</t>
  </si>
  <si>
    <t>Conversa do WhatsApp com +55 66 9255-0968.zip</t>
  </si>
  <si>
    <t>Juína</t>
  </si>
  <si>
    <t>[Solicitação enviada em mídia não exportada.]</t>
  </si>
  <si>
    <t>Demandas ao FNDE por ofício</t>
  </si>
  <si>
    <t>Solicitação</t>
  </si>
  <si>
    <t>Enviar um ofício ao FNDE, que é o desenvolvedor do sistema, com a justificativa técnica e legal da mudança. Contato: CMATE/FNDE, SBS Q. 2, Asa Sul, Brasília-DF, 70655-775, (61) 2022-5111.</t>
  </si>
  <si>
    <t>O pedido original veio em mídia não exportada. FAQ 10.2.</t>
  </si>
  <si>
    <t>Conversa do WhatsApp com +55 67 8434-4615.zip</t>
  </si>
  <si>
    <t>Paranaíba</t>
  </si>
  <si>
    <t>MS</t>
  </si>
  <si>
    <t>A capacitação dos dias 29 e 30 acaba que horas? [...] Até para quem é do CACS-FUNDEB é só um dia?</t>
  </si>
  <si>
    <t>Até as 18h, conforme o site. Cada município participa em um dia específico, não nos dois dias; vale tanto para gestor quanto para CACS.</t>
  </si>
  <si>
    <t>FAQ 5.2 e 5.3.</t>
  </si>
  <si>
    <t>Conversa do WhatsApp com +55 67 9653-5397.zip</t>
  </si>
  <si>
    <t>Paranhos</t>
  </si>
  <si>
    <t>Sabe informar ou sabe quem informa sobre valores de dinheiro recebido do PNATE? [...] Veio pouco. [Print do repasse de 01/04/2026]</t>
  </si>
  <si>
    <t>Enviar um ofício ao FNDE, responsável pelos recursos do PNATE, com as dúvidas e questionamentos. Contato: CMATE/FNDE, SBS Q. 2, Asa Sul, Brasília-DF, 70655-775, (61) 2022-5111.</t>
  </si>
  <si>
    <t>FAQ 10.1.</t>
  </si>
  <si>
    <t>Conversa do WhatsApp com +55 94 8401-8469.zip</t>
  </si>
  <si>
    <t>PA</t>
  </si>
  <si>
    <t>Gostaria de saber como proceder para trocar o coordenador do programa. [...] Como bloqueio o acesso [do anterior] e cadastro o novo responsável? Também gostaria de saber se o responsável pode ser uma pessoa contratada.</t>
  </si>
  <si>
    <t>Sim, o responsável pode ser uma pessoa contratada. Vídeo de inclusão: https://youtu.be/D_NNaSZYxVY; para excluir, clicar no ícone X. A secretária precisa estar no Habilita+ para incluir e excluir; como o cadastro dela está como Editor, é preciso pedir à CMATE/FNDE (cmate@fnde.gov.br) que mude para Admin.</t>
  </si>
  <si>
    <t>Estado inferido pelo DDD. FAQ 1.1 e 1.3.</t>
  </si>
  <si>
    <t>Conversa do WhatsApp com +55 94 8402-2157.zip</t>
  </si>
  <si>
    <t>Estou com um problema no sistema eletrônico de gestão do transporte escolar [...] não estou conseguindo fazer login através do programa. [Print: "UNEXPECTED TOKEN 'E', "EYJPZF91C3"... IS NOT VALID JSON"]</t>
  </si>
  <si>
    <t>Estado inferido pelo DDD. O CECATE só cumprimentou. É o mesmo erro que se resolve atualizando o SETE desktop. FAQ 2.1.</t>
  </si>
  <si>
    <t>Conversa do WhatsApp com +55 94 9154-0285.zip</t>
  </si>
  <si>
    <t>Redenção</t>
  </si>
  <si>
    <t>Não estou conseguindo cadastrar o motorista. [Print: "ERRO AO SALVAR O MOTORISTA."]</t>
  </si>
  <si>
    <t>Enviar todas as telas do que está sendo cadastrado e de como os dados estão sendo preenchidos, para conferência.</t>
  </si>
  <si>
    <t>Resposta em áudio (transcrita em dados/transcricoes/conversas). FAQ 3.1.</t>
  </si>
  <si>
    <t>Conversa do WhatsApp com +55 41 3608-7607.zip</t>
  </si>
  <si>
    <t>Fazenda Rio Grande</t>
  </si>
  <si>
    <t>(apenas identificação; nenhuma dúvida registrada)</t>
  </si>
  <si>
    <t>Há dois arquivos iguais desta conversa (um com "(1)" no nome).</t>
  </si>
  <si>
    <t>Conversa do WhatsApp com +55 62 9162-5788.zip</t>
  </si>
  <si>
    <t>(mensagem de uma vidraçaria, sem relação com o transporte escolar)</t>
  </si>
  <si>
    <t>(fora do escopo)</t>
  </si>
  <si>
    <t>Descartada do levantamento.</t>
  </si>
  <si>
    <t>Conversa do WhatsApp com +55 64 8119-1981.zip</t>
  </si>
  <si>
    <t>Gostaria de esclarecer algumas dúvidas sobre a plataforma SETE. [dúvida enviada em mídia não exportada]</t>
  </si>
  <si>
    <t>Resposta enviada em mídia não exportada</t>
  </si>
  <si>
    <t>Estado inferido pelo DDD. Sem conteúdo aproveitável.</t>
  </si>
  <si>
    <t>Áudios</t>
  </si>
  <si>
    <t>Conversas</t>
  </si>
  <si>
    <t>Total</t>
  </si>
  <si>
    <t>Áudios: uma linha por áudio. Conversas: uma linha por par conversa × tema; uma conversa com dois temas aparece nos dois.</t>
  </si>
  <si>
    <t>Fontes: áudios de WhatsApp em dados/ e conversas em dados/Conversas WhatsApp CECATE/, transcritos com Whisper medium (faster-whisper). Temas classificados manualmente – revisar.</t>
  </si>
  <si>
    <t>Conversas (distintas)</t>
  </si>
  <si>
    <t>Conversas contadas uma vez por arquivo, mesmo com vários temas. Quando o município não foi informado, o estado foi inferido pelo DDD (ver Observações).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</si>
</sst>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 x14ac:knownFonts="1">
    <font>
      <sz val="11"/>
      <color theme="1"/>
      <name val="Calibri"/>
      <family val="2"/>
      <scheme val="minor"/>
    </font>
    <font>
      <b/>
      <sz val="11"/>
      <color rgb="FFFFFFFF"/>
      <name val="Arial"/>
    </font>
    <font>
      <sz val="10"/>
      <name val="Arial"/>
    </font>
    <font>
      <b/>
      <sz val="11"/>
      <name val="Arial"/>
    </font>
    <font>
      <i/>
      <sz val="11"/>
      <name val="Arial"/>
    </font>
  </fonts>
  <fills count="3">
    <fill>
      <patternFill patternType="none"/>
    </fill>
    <fill>
      <patternFill patternType="gray125"/>
    </fill>
    <fill>
      <patternFill patternType="solid">
        <fgColor rgb="FF1F4E7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6">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top" wrapText="1"/>
    </xf>
    <xf numFmtId="164" fontId="2" fillId="0" borderId="1" xfId="0" applyNumberFormat="1" applyFont="1" applyBorder="1" applyAlignment="1">
      <alignment vertical="top" wrapText="1"/>
    </xf>
    <xf numFmtId="0" fontId="3" fillId="0" borderId="1" xfId="0" applyFont="1" applyBorder="1" applyAlignment="1">
      <alignment vertical="top" wrapText="1"/>
    </xf>
    <xf numFmtId="0" fontId="4"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9"/>
  <sheetViews>
    <sheetView tabSelected="1" workbookViewId="0">
      <pane ySplit="1" topLeftCell="A2" activePane="bottomLeft" state="frozen"/>
      <selection pane="bottomLeft"/>
    </sheetView>
  </sheetViews>
  <sheetFormatPr defaultRowHeight="15" x14ac:dyDescent="0.25"/>
  <cols>
    <col min="1" max="1" width="5" customWidth="1"/>
    <col min="2" max="2" width="16" customWidth="1"/>
    <col min="3" max="3" width="34" customWidth="1"/>
    <col min="4" max="4" width="12" customWidth="1"/>
    <col min="5" max="5" width="24" customWidth="1"/>
    <col min="6" max="6" width="10" customWidth="1"/>
    <col min="7" max="7" width="11" customWidth="1"/>
    <col min="8" max="8" width="90" customWidth="1"/>
    <col min="9" max="9" width="40" customWidth="1"/>
    <col min="10" max="10" width="22" customWidth="1"/>
    <col min="11" max="11" width="70" customWidth="1"/>
    <col min="12" max="12" width="50" customWidth="1"/>
  </cols>
  <sheetData>
    <row r="1" spans="1:12" ht="30" customHeight="1" x14ac:dyDescent="0.25">
      <c r="A1" s="1" t="s">
        <v>0</v>
      </c>
      <c r="B1" s="1" t="s">
        <v>1</v>
      </c>
      <c r="C1" s="1" t="s">
        <v>2</v>
      </c>
      <c r="D1" s="1" t="s">
        <v>3</v>
      </c>
      <c r="E1" s="1" t="s">
        <v>4</v>
      </c>
      <c r="F1" s="1" t="s">
        <v>5</v>
      </c>
      <c r="G1" s="1" t="s">
        <v>6</v>
      </c>
      <c r="H1" s="1" t="s">
        <v>7</v>
      </c>
      <c r="I1" s="1" t="s">
        <v>8</v>
      </c>
      <c r="J1" s="1" t="s">
        <v>9</v>
      </c>
      <c r="K1" s="1" t="s">
        <v>10</v>
      </c>
      <c r="L1" s="1" t="s">
        <v>11</v>
      </c>
    </row>
    <row r="2" spans="1:12" ht="38.25" customHeight="1" x14ac:dyDescent="0.25">
      <c r="A2" s="2">
        <v>1</v>
      </c>
      <c r="B2" s="2" t="s">
        <v>12</v>
      </c>
      <c r="C2" s="2" t="s">
        <v>13</v>
      </c>
      <c r="D2" s="3">
        <v>46141</v>
      </c>
      <c r="E2" s="2" t="s">
        <v>14</v>
      </c>
      <c r="F2" s="2" t="s">
        <v>14</v>
      </c>
      <c r="G2" s="2">
        <v>23</v>
      </c>
      <c r="H2" s="2" t="s">
        <v>15</v>
      </c>
      <c r="I2" s="2" t="s">
        <v>16</v>
      </c>
      <c r="J2" s="2" t="s">
        <v>17</v>
      </c>
      <c r="K2" s="2" t="s">
        <v>18</v>
      </c>
      <c r="L2" s="2"/>
    </row>
    <row r="3" spans="1:12" ht="25.5" customHeight="1" x14ac:dyDescent="0.25">
      <c r="A3" s="2">
        <v>2</v>
      </c>
      <c r="B3" s="2" t="s">
        <v>12</v>
      </c>
      <c r="C3" s="2" t="s">
        <v>19</v>
      </c>
      <c r="D3" s="3">
        <v>46141</v>
      </c>
      <c r="E3" s="2" t="s">
        <v>14</v>
      </c>
      <c r="F3" s="2" t="s">
        <v>14</v>
      </c>
      <c r="G3" s="2">
        <v>16</v>
      </c>
      <c r="H3" s="2" t="s">
        <v>20</v>
      </c>
      <c r="I3" s="2" t="s">
        <v>16</v>
      </c>
      <c r="J3" s="2" t="s">
        <v>17</v>
      </c>
      <c r="K3" s="2" t="s">
        <v>18</v>
      </c>
      <c r="L3" s="2" t="s">
        <v>21</v>
      </c>
    </row>
    <row r="4" spans="1:12" ht="51" customHeight="1" x14ac:dyDescent="0.25">
      <c r="A4" s="2">
        <v>3</v>
      </c>
      <c r="B4" s="2" t="s">
        <v>12</v>
      </c>
      <c r="C4" s="2" t="s">
        <v>22</v>
      </c>
      <c r="D4" s="3">
        <v>46148</v>
      </c>
      <c r="E4" s="2" t="s">
        <v>14</v>
      </c>
      <c r="F4" s="2" t="s">
        <v>14</v>
      </c>
      <c r="G4" s="2">
        <v>28</v>
      </c>
      <c r="H4" s="2" t="s">
        <v>23</v>
      </c>
      <c r="I4" s="2" t="s">
        <v>24</v>
      </c>
      <c r="J4" s="2" t="s">
        <v>25</v>
      </c>
      <c r="K4" s="2" t="s">
        <v>18</v>
      </c>
      <c r="L4" s="2"/>
    </row>
    <row r="5" spans="1:12" ht="89.25" customHeight="1" x14ac:dyDescent="0.25">
      <c r="A5" s="2">
        <v>4</v>
      </c>
      <c r="B5" s="2" t="s">
        <v>12</v>
      </c>
      <c r="C5" s="2" t="s">
        <v>26</v>
      </c>
      <c r="D5" s="3">
        <v>46149</v>
      </c>
      <c r="E5" s="2" t="s">
        <v>14</v>
      </c>
      <c r="F5" s="2" t="s">
        <v>14</v>
      </c>
      <c r="G5" s="2">
        <v>50</v>
      </c>
      <c r="H5" s="2" t="s">
        <v>27</v>
      </c>
      <c r="I5" s="2" t="s">
        <v>28</v>
      </c>
      <c r="J5" s="2" t="s">
        <v>25</v>
      </c>
      <c r="K5" s="2" t="s">
        <v>18</v>
      </c>
      <c r="L5" s="2" t="s">
        <v>29</v>
      </c>
    </row>
    <row r="6" spans="1:12" ht="63.75" customHeight="1" x14ac:dyDescent="0.25">
      <c r="A6" s="2">
        <v>5</v>
      </c>
      <c r="B6" s="2" t="s">
        <v>12</v>
      </c>
      <c r="C6" s="2" t="s">
        <v>30</v>
      </c>
      <c r="D6" s="3">
        <v>46149</v>
      </c>
      <c r="E6" s="2" t="s">
        <v>31</v>
      </c>
      <c r="F6" s="2" t="s">
        <v>32</v>
      </c>
      <c r="G6" s="2">
        <v>31</v>
      </c>
      <c r="H6" s="2" t="s">
        <v>33</v>
      </c>
      <c r="I6" s="2" t="s">
        <v>34</v>
      </c>
      <c r="J6" s="2" t="s">
        <v>35</v>
      </c>
      <c r="K6" s="2" t="s">
        <v>36</v>
      </c>
      <c r="L6" s="2"/>
    </row>
    <row r="7" spans="1:12" ht="114.75" customHeight="1" x14ac:dyDescent="0.25">
      <c r="A7" s="2">
        <v>6</v>
      </c>
      <c r="B7" s="2" t="s">
        <v>12</v>
      </c>
      <c r="C7" s="2" t="s">
        <v>37</v>
      </c>
      <c r="D7" s="3">
        <v>46152</v>
      </c>
      <c r="E7" s="2" t="s">
        <v>14</v>
      </c>
      <c r="F7" s="2" t="s">
        <v>14</v>
      </c>
      <c r="G7" s="2">
        <v>64</v>
      </c>
      <c r="H7" s="2" t="s">
        <v>38</v>
      </c>
      <c r="I7" s="2" t="s">
        <v>39</v>
      </c>
      <c r="J7" s="2" t="s">
        <v>40</v>
      </c>
      <c r="K7" s="2" t="s">
        <v>36</v>
      </c>
      <c r="L7" s="2" t="s">
        <v>41</v>
      </c>
    </row>
    <row r="8" spans="1:12" ht="153" customHeight="1" x14ac:dyDescent="0.25">
      <c r="A8" s="2">
        <v>7</v>
      </c>
      <c r="B8" s="2" t="s">
        <v>12</v>
      </c>
      <c r="C8" s="2" t="s">
        <v>42</v>
      </c>
      <c r="D8" s="3">
        <v>46152</v>
      </c>
      <c r="E8" s="2" t="s">
        <v>14</v>
      </c>
      <c r="F8" s="2" t="s">
        <v>14</v>
      </c>
      <c r="G8" s="2">
        <v>92</v>
      </c>
      <c r="H8" s="2" t="s">
        <v>43</v>
      </c>
      <c r="I8" s="2" t="s">
        <v>44</v>
      </c>
      <c r="J8" s="2" t="s">
        <v>40</v>
      </c>
      <c r="K8" s="2" t="s">
        <v>36</v>
      </c>
      <c r="L8" s="2" t="s">
        <v>45</v>
      </c>
    </row>
    <row r="9" spans="1:12" ht="89.25" customHeight="1" x14ac:dyDescent="0.25">
      <c r="A9" s="2">
        <v>8</v>
      </c>
      <c r="B9" s="2" t="s">
        <v>12</v>
      </c>
      <c r="C9" s="2" t="s">
        <v>46</v>
      </c>
      <c r="D9" s="3">
        <v>46189</v>
      </c>
      <c r="E9" s="2" t="s">
        <v>14</v>
      </c>
      <c r="F9" s="2" t="s">
        <v>14</v>
      </c>
      <c r="G9" s="2">
        <v>62</v>
      </c>
      <c r="H9" s="2" t="s">
        <v>47</v>
      </c>
      <c r="I9" s="2" t="s">
        <v>39</v>
      </c>
      <c r="J9" s="2" t="s">
        <v>25</v>
      </c>
      <c r="K9" s="2" t="s">
        <v>18</v>
      </c>
      <c r="L9" s="2" t="s">
        <v>48</v>
      </c>
    </row>
    <row r="10" spans="1:12" ht="25.5" customHeight="1" x14ac:dyDescent="0.25">
      <c r="A10" s="2">
        <v>9</v>
      </c>
      <c r="B10" s="2" t="s">
        <v>12</v>
      </c>
      <c r="C10" s="2" t="s">
        <v>49</v>
      </c>
      <c r="D10" s="3">
        <v>46190</v>
      </c>
      <c r="E10" s="2" t="s">
        <v>14</v>
      </c>
      <c r="F10" s="2" t="s">
        <v>14</v>
      </c>
      <c r="G10" s="2">
        <v>45</v>
      </c>
      <c r="H10" s="2" t="s">
        <v>50</v>
      </c>
      <c r="I10" s="2" t="s">
        <v>51</v>
      </c>
      <c r="J10" s="2" t="s">
        <v>52</v>
      </c>
      <c r="K10" s="2" t="s">
        <v>53</v>
      </c>
      <c r="L10" s="2" t="s">
        <v>54</v>
      </c>
    </row>
    <row r="11" spans="1:12" ht="76.5" customHeight="1" x14ac:dyDescent="0.25">
      <c r="A11" s="2">
        <v>10</v>
      </c>
      <c r="B11" s="2" t="s">
        <v>12</v>
      </c>
      <c r="C11" s="2" t="s">
        <v>55</v>
      </c>
      <c r="D11" s="3">
        <v>46196</v>
      </c>
      <c r="E11" s="2" t="s">
        <v>14</v>
      </c>
      <c r="F11" s="2" t="s">
        <v>14</v>
      </c>
      <c r="G11" s="2">
        <v>46</v>
      </c>
      <c r="H11" s="2" t="s">
        <v>56</v>
      </c>
      <c r="I11" s="2" t="s">
        <v>57</v>
      </c>
      <c r="J11" s="2" t="s">
        <v>25</v>
      </c>
      <c r="K11" s="2" t="s">
        <v>18</v>
      </c>
      <c r="L11" s="2" t="s">
        <v>58</v>
      </c>
    </row>
    <row r="12" spans="1:12" ht="38.25" customHeight="1" x14ac:dyDescent="0.25">
      <c r="A12" s="2">
        <v>11</v>
      </c>
      <c r="B12" s="2" t="s">
        <v>12</v>
      </c>
      <c r="C12" s="2" t="s">
        <v>59</v>
      </c>
      <c r="D12" s="3">
        <v>46239</v>
      </c>
      <c r="E12" s="2" t="s">
        <v>14</v>
      </c>
      <c r="F12" s="2" t="s">
        <v>14</v>
      </c>
      <c r="G12" s="2">
        <v>21</v>
      </c>
      <c r="H12" s="2" t="s">
        <v>60</v>
      </c>
      <c r="I12" s="2" t="s">
        <v>61</v>
      </c>
      <c r="J12" s="2" t="s">
        <v>25</v>
      </c>
      <c r="K12" s="2" t="s">
        <v>62</v>
      </c>
      <c r="L12" s="2"/>
    </row>
    <row r="13" spans="1:12" ht="51" customHeight="1" x14ac:dyDescent="0.25">
      <c r="A13" s="2">
        <v>12</v>
      </c>
      <c r="B13" s="2" t="s">
        <v>12</v>
      </c>
      <c r="C13" s="2" t="s">
        <v>63</v>
      </c>
      <c r="D13" s="3">
        <v>46239</v>
      </c>
      <c r="E13" s="2" t="s">
        <v>14</v>
      </c>
      <c r="F13" s="2" t="s">
        <v>14</v>
      </c>
      <c r="G13" s="2">
        <v>28</v>
      </c>
      <c r="H13" s="2" t="s">
        <v>64</v>
      </c>
      <c r="I13" s="2" t="s">
        <v>61</v>
      </c>
      <c r="J13" s="2" t="s">
        <v>65</v>
      </c>
      <c r="K13" s="2" t="s">
        <v>66</v>
      </c>
      <c r="L13" s="2" t="s">
        <v>67</v>
      </c>
    </row>
    <row r="14" spans="1:12" ht="51" customHeight="1" x14ac:dyDescent="0.25">
      <c r="A14" s="2">
        <v>13</v>
      </c>
      <c r="B14" s="2" t="s">
        <v>12</v>
      </c>
      <c r="C14" s="2" t="s">
        <v>68</v>
      </c>
      <c r="D14" s="3">
        <v>46240</v>
      </c>
      <c r="E14" s="2" t="s">
        <v>14</v>
      </c>
      <c r="F14" s="2" t="s">
        <v>14</v>
      </c>
      <c r="G14" s="2">
        <v>26</v>
      </c>
      <c r="H14" s="2" t="s">
        <v>69</v>
      </c>
      <c r="I14" s="2" t="s">
        <v>61</v>
      </c>
      <c r="J14" s="2" t="s">
        <v>25</v>
      </c>
      <c r="K14" s="2" t="s">
        <v>18</v>
      </c>
      <c r="L14" s="2"/>
    </row>
    <row r="15" spans="1:12" ht="25.5" customHeight="1" x14ac:dyDescent="0.25">
      <c r="A15" s="2">
        <v>14</v>
      </c>
      <c r="B15" s="2" t="s">
        <v>70</v>
      </c>
      <c r="C15" s="2" t="s">
        <v>71</v>
      </c>
      <c r="D15" s="3">
        <v>46128</v>
      </c>
      <c r="E15" s="2" t="s">
        <v>72</v>
      </c>
      <c r="F15" s="2" t="s">
        <v>73</v>
      </c>
      <c r="G15" s="2"/>
      <c r="H15" s="2" t="s">
        <v>74</v>
      </c>
      <c r="I15" s="2" t="s">
        <v>75</v>
      </c>
      <c r="J15" s="2" t="s">
        <v>25</v>
      </c>
      <c r="K15" s="2" t="s">
        <v>76</v>
      </c>
      <c r="L15" s="2" t="s">
        <v>77</v>
      </c>
    </row>
    <row r="16" spans="1:12" ht="38.25" customHeight="1" x14ac:dyDescent="0.25">
      <c r="A16" s="2">
        <v>15</v>
      </c>
      <c r="B16" s="2" t="s">
        <v>70</v>
      </c>
      <c r="C16" s="2" t="s">
        <v>78</v>
      </c>
      <c r="D16" s="3">
        <v>46106</v>
      </c>
      <c r="E16" s="2" t="s">
        <v>79</v>
      </c>
      <c r="F16" s="2" t="s">
        <v>80</v>
      </c>
      <c r="G16" s="2"/>
      <c r="H16" s="2" t="s">
        <v>81</v>
      </c>
      <c r="I16" s="2" t="s">
        <v>82</v>
      </c>
      <c r="J16" s="2" t="s">
        <v>83</v>
      </c>
      <c r="K16" s="2" t="s">
        <v>18</v>
      </c>
      <c r="L16" s="2" t="s">
        <v>84</v>
      </c>
    </row>
    <row r="17" spans="1:12" ht="25.5" customHeight="1" x14ac:dyDescent="0.25">
      <c r="A17" s="2">
        <v>16</v>
      </c>
      <c r="B17" s="2" t="s">
        <v>70</v>
      </c>
      <c r="C17" s="2" t="s">
        <v>78</v>
      </c>
      <c r="D17" s="3">
        <v>46106</v>
      </c>
      <c r="E17" s="2" t="s">
        <v>79</v>
      </c>
      <c r="F17" s="2" t="s">
        <v>80</v>
      </c>
      <c r="G17" s="2"/>
      <c r="H17" s="2" t="s">
        <v>85</v>
      </c>
      <c r="I17" s="2" t="s">
        <v>86</v>
      </c>
      <c r="J17" s="2" t="s">
        <v>87</v>
      </c>
      <c r="K17" s="2" t="s">
        <v>18</v>
      </c>
      <c r="L17" s="2" t="s">
        <v>88</v>
      </c>
    </row>
    <row r="18" spans="1:12" ht="38.25" customHeight="1" x14ac:dyDescent="0.25">
      <c r="A18" s="2">
        <v>17</v>
      </c>
      <c r="B18" s="2" t="s">
        <v>70</v>
      </c>
      <c r="C18" s="2" t="s">
        <v>89</v>
      </c>
      <c r="D18" s="3">
        <v>46119</v>
      </c>
      <c r="E18" s="2" t="s">
        <v>90</v>
      </c>
      <c r="F18" s="2" t="s">
        <v>80</v>
      </c>
      <c r="G18" s="2"/>
      <c r="H18" s="2" t="s">
        <v>91</v>
      </c>
      <c r="I18" s="2" t="s">
        <v>92</v>
      </c>
      <c r="J18" s="2" t="s">
        <v>17</v>
      </c>
      <c r="K18" s="2" t="s">
        <v>93</v>
      </c>
      <c r="L18" s="2" t="s">
        <v>94</v>
      </c>
    </row>
    <row r="19" spans="1:12" ht="38.25" customHeight="1" x14ac:dyDescent="0.25">
      <c r="A19" s="2">
        <v>18</v>
      </c>
      <c r="B19" s="2" t="s">
        <v>70</v>
      </c>
      <c r="C19" s="2" t="s">
        <v>89</v>
      </c>
      <c r="D19" s="3">
        <v>46120</v>
      </c>
      <c r="E19" s="2" t="s">
        <v>90</v>
      </c>
      <c r="F19" s="2" t="s">
        <v>80</v>
      </c>
      <c r="G19" s="2"/>
      <c r="H19" s="2" t="s">
        <v>95</v>
      </c>
      <c r="I19" s="2" t="s">
        <v>82</v>
      </c>
      <c r="J19" s="2" t="s">
        <v>83</v>
      </c>
      <c r="K19" s="2" t="s">
        <v>96</v>
      </c>
      <c r="L19" s="2" t="s">
        <v>97</v>
      </c>
    </row>
    <row r="20" spans="1:12" ht="25.5" customHeight="1" x14ac:dyDescent="0.25">
      <c r="A20" s="2">
        <v>19</v>
      </c>
      <c r="B20" s="2" t="s">
        <v>70</v>
      </c>
      <c r="C20" s="2" t="s">
        <v>89</v>
      </c>
      <c r="D20" s="3">
        <v>46122</v>
      </c>
      <c r="E20" s="2" t="s">
        <v>90</v>
      </c>
      <c r="F20" s="2" t="s">
        <v>80</v>
      </c>
      <c r="G20" s="2"/>
      <c r="H20" s="2" t="s">
        <v>98</v>
      </c>
      <c r="I20" s="2" t="s">
        <v>44</v>
      </c>
      <c r="J20" s="2" t="s">
        <v>25</v>
      </c>
      <c r="K20" s="2" t="s">
        <v>99</v>
      </c>
      <c r="L20" s="2" t="s">
        <v>100</v>
      </c>
    </row>
    <row r="21" spans="1:12" ht="38.25" customHeight="1" x14ac:dyDescent="0.25">
      <c r="A21" s="2">
        <v>20</v>
      </c>
      <c r="B21" s="2" t="s">
        <v>70</v>
      </c>
      <c r="C21" s="2" t="s">
        <v>101</v>
      </c>
      <c r="D21" s="3">
        <v>46105</v>
      </c>
      <c r="E21" s="2" t="s">
        <v>14</v>
      </c>
      <c r="F21" s="2" t="s">
        <v>102</v>
      </c>
      <c r="G21" s="2"/>
      <c r="H21" s="2" t="s">
        <v>103</v>
      </c>
      <c r="I21" s="2" t="s">
        <v>104</v>
      </c>
      <c r="J21" s="2" t="s">
        <v>25</v>
      </c>
      <c r="K21" s="2" t="s">
        <v>105</v>
      </c>
      <c r="L21" s="2" t="s">
        <v>106</v>
      </c>
    </row>
    <row r="22" spans="1:12" ht="51" customHeight="1" x14ac:dyDescent="0.25">
      <c r="A22" s="2">
        <v>21</v>
      </c>
      <c r="B22" s="2" t="s">
        <v>70</v>
      </c>
      <c r="C22" s="2" t="s">
        <v>107</v>
      </c>
      <c r="D22" s="3">
        <v>46121</v>
      </c>
      <c r="E22" s="2" t="s">
        <v>108</v>
      </c>
      <c r="F22" s="2" t="s">
        <v>102</v>
      </c>
      <c r="G22" s="2"/>
      <c r="H22" s="2" t="s">
        <v>109</v>
      </c>
      <c r="I22" s="2" t="s">
        <v>104</v>
      </c>
      <c r="J22" s="2" t="s">
        <v>17</v>
      </c>
      <c r="K22" s="2" t="s">
        <v>110</v>
      </c>
      <c r="L22" s="2" t="s">
        <v>111</v>
      </c>
    </row>
    <row r="23" spans="1:12" ht="25.5" customHeight="1" x14ac:dyDescent="0.25">
      <c r="A23" s="2">
        <v>22</v>
      </c>
      <c r="B23" s="2" t="s">
        <v>70</v>
      </c>
      <c r="C23" s="2" t="s">
        <v>112</v>
      </c>
      <c r="D23" s="3">
        <v>46135</v>
      </c>
      <c r="E23" s="2" t="s">
        <v>113</v>
      </c>
      <c r="F23" s="2" t="s">
        <v>114</v>
      </c>
      <c r="G23" s="2"/>
      <c r="H23" s="2" t="s">
        <v>115</v>
      </c>
      <c r="I23" s="2" t="s">
        <v>82</v>
      </c>
      <c r="J23" s="2" t="s">
        <v>83</v>
      </c>
      <c r="K23" s="2" t="s">
        <v>18</v>
      </c>
      <c r="L23" s="2" t="s">
        <v>116</v>
      </c>
    </row>
    <row r="24" spans="1:12" ht="51" customHeight="1" x14ac:dyDescent="0.25">
      <c r="A24" s="2">
        <v>23</v>
      </c>
      <c r="B24" s="2" t="s">
        <v>70</v>
      </c>
      <c r="C24" s="2" t="s">
        <v>117</v>
      </c>
      <c r="D24" s="3">
        <v>46106</v>
      </c>
      <c r="E24" s="2" t="s">
        <v>118</v>
      </c>
      <c r="F24" s="2" t="s">
        <v>119</v>
      </c>
      <c r="G24" s="2"/>
      <c r="H24" s="2" t="s">
        <v>120</v>
      </c>
      <c r="I24" s="2" t="s">
        <v>82</v>
      </c>
      <c r="J24" s="2" t="s">
        <v>83</v>
      </c>
      <c r="K24" s="2" t="s">
        <v>121</v>
      </c>
      <c r="L24" s="2" t="s">
        <v>122</v>
      </c>
    </row>
    <row r="25" spans="1:12" ht="25.5" customHeight="1" x14ac:dyDescent="0.25">
      <c r="A25" s="2">
        <v>24</v>
      </c>
      <c r="B25" s="2" t="s">
        <v>70</v>
      </c>
      <c r="C25" s="2" t="s">
        <v>123</v>
      </c>
      <c r="D25" s="3">
        <v>46105</v>
      </c>
      <c r="E25" s="2" t="s">
        <v>14</v>
      </c>
      <c r="F25" s="2" t="s">
        <v>119</v>
      </c>
      <c r="G25" s="2"/>
      <c r="H25" s="2" t="s">
        <v>124</v>
      </c>
      <c r="I25" s="2" t="s">
        <v>92</v>
      </c>
      <c r="J25" s="2" t="s">
        <v>17</v>
      </c>
      <c r="K25" s="2" t="s">
        <v>125</v>
      </c>
      <c r="L25" s="2" t="s">
        <v>126</v>
      </c>
    </row>
    <row r="26" spans="1:12" ht="25.5" customHeight="1" x14ac:dyDescent="0.25">
      <c r="A26" s="2">
        <v>25</v>
      </c>
      <c r="B26" s="2" t="s">
        <v>70</v>
      </c>
      <c r="C26" s="2" t="s">
        <v>127</v>
      </c>
      <c r="D26" s="3">
        <v>46120</v>
      </c>
      <c r="E26" s="2" t="s">
        <v>128</v>
      </c>
      <c r="F26" s="2" t="s">
        <v>119</v>
      </c>
      <c r="G26" s="2"/>
      <c r="H26" s="2" t="s">
        <v>129</v>
      </c>
      <c r="I26" s="2" t="s">
        <v>92</v>
      </c>
      <c r="J26" s="2" t="s">
        <v>17</v>
      </c>
      <c r="K26" s="2" t="s">
        <v>130</v>
      </c>
      <c r="L26" s="2" t="s">
        <v>131</v>
      </c>
    </row>
    <row r="27" spans="1:12" ht="38.25" customHeight="1" x14ac:dyDescent="0.25">
      <c r="A27" s="2">
        <v>26</v>
      </c>
      <c r="B27" s="2" t="s">
        <v>70</v>
      </c>
      <c r="C27" s="2" t="s">
        <v>132</v>
      </c>
      <c r="D27" s="3">
        <v>46118</v>
      </c>
      <c r="E27" s="2" t="s">
        <v>133</v>
      </c>
      <c r="F27" s="2" t="s">
        <v>119</v>
      </c>
      <c r="G27" s="2"/>
      <c r="H27" s="2" t="s">
        <v>134</v>
      </c>
      <c r="I27" s="2" t="s">
        <v>104</v>
      </c>
      <c r="J27" s="2" t="s">
        <v>25</v>
      </c>
      <c r="K27" s="2" t="s">
        <v>135</v>
      </c>
      <c r="L27" s="2" t="s">
        <v>136</v>
      </c>
    </row>
    <row r="28" spans="1:12" ht="38.25" customHeight="1" x14ac:dyDescent="0.25">
      <c r="A28" s="2">
        <v>27</v>
      </c>
      <c r="B28" s="2" t="s">
        <v>70</v>
      </c>
      <c r="C28" s="2" t="s">
        <v>137</v>
      </c>
      <c r="D28" s="3">
        <v>46129</v>
      </c>
      <c r="E28" s="2" t="s">
        <v>138</v>
      </c>
      <c r="F28" s="2" t="s">
        <v>119</v>
      </c>
      <c r="G28" s="2"/>
      <c r="H28" s="2" t="s">
        <v>139</v>
      </c>
      <c r="I28" s="2" t="s">
        <v>104</v>
      </c>
      <c r="J28" s="2" t="s">
        <v>140</v>
      </c>
      <c r="K28" s="2" t="s">
        <v>141</v>
      </c>
      <c r="L28" s="2" t="s">
        <v>142</v>
      </c>
    </row>
    <row r="29" spans="1:12" ht="51" customHeight="1" x14ac:dyDescent="0.25">
      <c r="A29" s="2">
        <v>28</v>
      </c>
      <c r="B29" s="2" t="s">
        <v>70</v>
      </c>
      <c r="C29" s="2" t="s">
        <v>143</v>
      </c>
      <c r="D29" s="3">
        <v>46126</v>
      </c>
      <c r="E29" s="2" t="s">
        <v>144</v>
      </c>
      <c r="F29" s="2" t="s">
        <v>119</v>
      </c>
      <c r="G29" s="2"/>
      <c r="H29" s="2" t="s">
        <v>145</v>
      </c>
      <c r="I29" s="2" t="s">
        <v>82</v>
      </c>
      <c r="J29" s="2" t="s">
        <v>83</v>
      </c>
      <c r="K29" s="2" t="s">
        <v>146</v>
      </c>
      <c r="L29" s="2" t="s">
        <v>147</v>
      </c>
    </row>
    <row r="30" spans="1:12" ht="51" customHeight="1" x14ac:dyDescent="0.25">
      <c r="A30" s="2">
        <v>29</v>
      </c>
      <c r="B30" s="2" t="s">
        <v>70</v>
      </c>
      <c r="C30" s="2" t="s">
        <v>143</v>
      </c>
      <c r="D30" s="3">
        <v>46139</v>
      </c>
      <c r="E30" s="2" t="s">
        <v>144</v>
      </c>
      <c r="F30" s="2" t="s">
        <v>119</v>
      </c>
      <c r="G30" s="2"/>
      <c r="H30" s="2" t="s">
        <v>148</v>
      </c>
      <c r="I30" s="2" t="s">
        <v>39</v>
      </c>
      <c r="J30" s="2" t="s">
        <v>25</v>
      </c>
      <c r="K30" s="2" t="s">
        <v>149</v>
      </c>
      <c r="L30" s="2" t="s">
        <v>150</v>
      </c>
    </row>
    <row r="31" spans="1:12" ht="25.5" customHeight="1" x14ac:dyDescent="0.25">
      <c r="A31" s="2">
        <v>30</v>
      </c>
      <c r="B31" s="2" t="s">
        <v>70</v>
      </c>
      <c r="C31" s="2" t="s">
        <v>151</v>
      </c>
      <c r="D31" s="3">
        <v>46119</v>
      </c>
      <c r="E31" s="2" t="s">
        <v>152</v>
      </c>
      <c r="F31" s="2" t="s">
        <v>153</v>
      </c>
      <c r="G31" s="2"/>
      <c r="H31" s="2" t="s">
        <v>154</v>
      </c>
      <c r="I31" s="2" t="s">
        <v>92</v>
      </c>
      <c r="J31" s="2" t="s">
        <v>17</v>
      </c>
      <c r="K31" s="2" t="s">
        <v>155</v>
      </c>
      <c r="L31" s="2" t="s">
        <v>156</v>
      </c>
    </row>
    <row r="32" spans="1:12" ht="25.5" customHeight="1" x14ac:dyDescent="0.25">
      <c r="A32" s="2">
        <v>31</v>
      </c>
      <c r="B32" s="2" t="s">
        <v>70</v>
      </c>
      <c r="C32" s="2" t="s">
        <v>157</v>
      </c>
      <c r="D32" s="3">
        <v>46107</v>
      </c>
      <c r="E32" s="2" t="s">
        <v>158</v>
      </c>
      <c r="F32" s="2" t="s">
        <v>159</v>
      </c>
      <c r="G32" s="2"/>
      <c r="H32" s="2" t="s">
        <v>160</v>
      </c>
      <c r="I32" s="2" t="s">
        <v>82</v>
      </c>
      <c r="J32" s="2" t="s">
        <v>83</v>
      </c>
      <c r="K32" s="2" t="s">
        <v>161</v>
      </c>
      <c r="L32" s="2" t="s">
        <v>162</v>
      </c>
    </row>
    <row r="33" spans="1:12" ht="51" customHeight="1" x14ac:dyDescent="0.25">
      <c r="A33" s="2">
        <v>32</v>
      </c>
      <c r="B33" s="2" t="s">
        <v>70</v>
      </c>
      <c r="C33" s="2" t="s">
        <v>163</v>
      </c>
      <c r="D33" s="3">
        <v>46119</v>
      </c>
      <c r="E33" s="2" t="s">
        <v>14</v>
      </c>
      <c r="F33" s="2" t="s">
        <v>153</v>
      </c>
      <c r="G33" s="2"/>
      <c r="H33" s="2" t="s">
        <v>164</v>
      </c>
      <c r="I33" s="2" t="s">
        <v>104</v>
      </c>
      <c r="J33" s="2" t="s">
        <v>25</v>
      </c>
      <c r="K33" s="2" t="s">
        <v>165</v>
      </c>
      <c r="L33" s="2" t="s">
        <v>166</v>
      </c>
    </row>
    <row r="34" spans="1:12" ht="38.25" customHeight="1" x14ac:dyDescent="0.25">
      <c r="A34" s="2">
        <v>33</v>
      </c>
      <c r="B34" s="2" t="s">
        <v>70</v>
      </c>
      <c r="C34" s="2" t="s">
        <v>163</v>
      </c>
      <c r="D34" s="3">
        <v>46119</v>
      </c>
      <c r="E34" s="2" t="s">
        <v>14</v>
      </c>
      <c r="F34" s="2" t="s">
        <v>153</v>
      </c>
      <c r="G34" s="2"/>
      <c r="H34" s="2" t="s">
        <v>167</v>
      </c>
      <c r="I34" s="2" t="s">
        <v>92</v>
      </c>
      <c r="J34" s="2" t="s">
        <v>17</v>
      </c>
      <c r="K34" s="2" t="s">
        <v>168</v>
      </c>
      <c r="L34" s="2" t="s">
        <v>169</v>
      </c>
    </row>
    <row r="35" spans="1:12" ht="38.25" customHeight="1" x14ac:dyDescent="0.25">
      <c r="A35" s="2">
        <v>34</v>
      </c>
      <c r="B35" s="2" t="s">
        <v>70</v>
      </c>
      <c r="C35" s="2" t="s">
        <v>170</v>
      </c>
      <c r="D35" s="3">
        <v>46121</v>
      </c>
      <c r="E35" s="2" t="s">
        <v>171</v>
      </c>
      <c r="F35" s="2" t="s">
        <v>153</v>
      </c>
      <c r="G35" s="2"/>
      <c r="H35" s="2" t="s">
        <v>172</v>
      </c>
      <c r="I35" s="2" t="s">
        <v>104</v>
      </c>
      <c r="J35" s="2" t="s">
        <v>25</v>
      </c>
      <c r="K35" s="2" t="s">
        <v>173</v>
      </c>
      <c r="L35" s="2" t="s">
        <v>174</v>
      </c>
    </row>
    <row r="36" spans="1:12" ht="63.75" customHeight="1" x14ac:dyDescent="0.25">
      <c r="A36" s="2">
        <v>35</v>
      </c>
      <c r="B36" s="2" t="s">
        <v>70</v>
      </c>
      <c r="C36" s="2" t="s">
        <v>175</v>
      </c>
      <c r="D36" s="3">
        <v>46105</v>
      </c>
      <c r="E36" s="2" t="s">
        <v>176</v>
      </c>
      <c r="F36" s="2" t="s">
        <v>153</v>
      </c>
      <c r="G36" s="2"/>
      <c r="H36" s="2" t="s">
        <v>177</v>
      </c>
      <c r="I36" s="2" t="s">
        <v>44</v>
      </c>
      <c r="J36" s="2" t="s">
        <v>25</v>
      </c>
      <c r="K36" s="2" t="s">
        <v>178</v>
      </c>
      <c r="L36" s="2" t="s">
        <v>179</v>
      </c>
    </row>
    <row r="37" spans="1:12" ht="25.5" customHeight="1" x14ac:dyDescent="0.25">
      <c r="A37" s="2">
        <v>36</v>
      </c>
      <c r="B37" s="2" t="s">
        <v>70</v>
      </c>
      <c r="C37" s="2" t="s">
        <v>175</v>
      </c>
      <c r="D37" s="3">
        <v>46111</v>
      </c>
      <c r="E37" s="2" t="s">
        <v>176</v>
      </c>
      <c r="F37" s="2" t="s">
        <v>153</v>
      </c>
      <c r="G37" s="2"/>
      <c r="H37" s="2" t="s">
        <v>180</v>
      </c>
      <c r="I37" s="2" t="s">
        <v>92</v>
      </c>
      <c r="J37" s="2" t="s">
        <v>17</v>
      </c>
      <c r="K37" s="2" t="s">
        <v>181</v>
      </c>
      <c r="L37" s="2" t="s">
        <v>182</v>
      </c>
    </row>
    <row r="38" spans="1:12" ht="38.25" customHeight="1" x14ac:dyDescent="0.25">
      <c r="A38" s="2">
        <v>37</v>
      </c>
      <c r="B38" s="2" t="s">
        <v>70</v>
      </c>
      <c r="C38" s="2" t="s">
        <v>183</v>
      </c>
      <c r="D38" s="3">
        <v>46139</v>
      </c>
      <c r="E38" s="2" t="s">
        <v>184</v>
      </c>
      <c r="F38" s="2" t="s">
        <v>153</v>
      </c>
      <c r="G38" s="2"/>
      <c r="H38" s="2" t="s">
        <v>185</v>
      </c>
      <c r="I38" s="2" t="s">
        <v>75</v>
      </c>
      <c r="J38" s="2" t="s">
        <v>25</v>
      </c>
      <c r="K38" s="2" t="s">
        <v>186</v>
      </c>
      <c r="L38" s="2" t="s">
        <v>187</v>
      </c>
    </row>
    <row r="39" spans="1:12" ht="38.25" customHeight="1" x14ac:dyDescent="0.25">
      <c r="A39" s="2">
        <v>38</v>
      </c>
      <c r="B39" s="2" t="s">
        <v>70</v>
      </c>
      <c r="C39" s="2" t="s">
        <v>188</v>
      </c>
      <c r="D39" s="3">
        <v>46108</v>
      </c>
      <c r="E39" s="2" t="s">
        <v>14</v>
      </c>
      <c r="F39" s="2" t="s">
        <v>153</v>
      </c>
      <c r="G39" s="2"/>
      <c r="H39" s="2" t="s">
        <v>189</v>
      </c>
      <c r="I39" s="2" t="s">
        <v>75</v>
      </c>
      <c r="J39" s="2" t="s">
        <v>190</v>
      </c>
      <c r="K39" s="2" t="s">
        <v>191</v>
      </c>
      <c r="L39" s="2" t="s">
        <v>192</v>
      </c>
    </row>
    <row r="40" spans="1:12" ht="25.5" customHeight="1" x14ac:dyDescent="0.25">
      <c r="A40" s="2">
        <v>39</v>
      </c>
      <c r="B40" s="2" t="s">
        <v>70</v>
      </c>
      <c r="C40" s="2" t="s">
        <v>193</v>
      </c>
      <c r="D40" s="3">
        <v>46111</v>
      </c>
      <c r="E40" s="2" t="s">
        <v>14</v>
      </c>
      <c r="F40" s="2" t="s">
        <v>32</v>
      </c>
      <c r="G40" s="2"/>
      <c r="H40" s="2" t="s">
        <v>194</v>
      </c>
      <c r="I40" s="2" t="s">
        <v>104</v>
      </c>
      <c r="J40" s="2" t="s">
        <v>17</v>
      </c>
      <c r="K40" s="2" t="s">
        <v>18</v>
      </c>
      <c r="L40" s="2" t="s">
        <v>195</v>
      </c>
    </row>
    <row r="41" spans="1:12" ht="38.25" customHeight="1" x14ac:dyDescent="0.25">
      <c r="A41" s="2">
        <v>40</v>
      </c>
      <c r="B41" s="2" t="s">
        <v>70</v>
      </c>
      <c r="C41" s="2" t="s">
        <v>196</v>
      </c>
      <c r="D41" s="3">
        <v>46121</v>
      </c>
      <c r="E41" s="2" t="s">
        <v>197</v>
      </c>
      <c r="F41" s="2" t="s">
        <v>32</v>
      </c>
      <c r="G41" s="2"/>
      <c r="H41" s="2" t="s">
        <v>198</v>
      </c>
      <c r="I41" s="2" t="s">
        <v>199</v>
      </c>
      <c r="J41" s="2" t="s">
        <v>200</v>
      </c>
      <c r="K41" s="2" t="s">
        <v>201</v>
      </c>
      <c r="L41" s="2" t="s">
        <v>202</v>
      </c>
    </row>
    <row r="42" spans="1:12" ht="25.5" customHeight="1" x14ac:dyDescent="0.25">
      <c r="A42" s="2">
        <v>41</v>
      </c>
      <c r="B42" s="2" t="s">
        <v>70</v>
      </c>
      <c r="C42" s="2" t="s">
        <v>203</v>
      </c>
      <c r="D42" s="3">
        <v>46136</v>
      </c>
      <c r="E42" s="2" t="s">
        <v>204</v>
      </c>
      <c r="F42" s="2" t="s">
        <v>205</v>
      </c>
      <c r="G42" s="2"/>
      <c r="H42" s="2" t="s">
        <v>206</v>
      </c>
      <c r="I42" s="2" t="s">
        <v>75</v>
      </c>
      <c r="J42" s="2" t="s">
        <v>25</v>
      </c>
      <c r="K42" s="2" t="s">
        <v>207</v>
      </c>
      <c r="L42" s="2" t="s">
        <v>208</v>
      </c>
    </row>
    <row r="43" spans="1:12" ht="25.5" customHeight="1" x14ac:dyDescent="0.25">
      <c r="A43" s="2">
        <v>42</v>
      </c>
      <c r="B43" s="2" t="s">
        <v>70</v>
      </c>
      <c r="C43" s="2" t="s">
        <v>209</v>
      </c>
      <c r="D43" s="3">
        <v>46119</v>
      </c>
      <c r="E43" s="2" t="s">
        <v>210</v>
      </c>
      <c r="F43" s="2" t="s">
        <v>205</v>
      </c>
      <c r="G43" s="2"/>
      <c r="H43" s="2" t="s">
        <v>211</v>
      </c>
      <c r="I43" s="2" t="s">
        <v>199</v>
      </c>
      <c r="J43" s="2" t="s">
        <v>25</v>
      </c>
      <c r="K43" s="2" t="s">
        <v>212</v>
      </c>
      <c r="L43" s="2" t="s">
        <v>213</v>
      </c>
    </row>
    <row r="44" spans="1:12" ht="51" customHeight="1" x14ac:dyDescent="0.25">
      <c r="A44" s="2">
        <v>43</v>
      </c>
      <c r="B44" s="2" t="s">
        <v>70</v>
      </c>
      <c r="C44" s="2" t="s">
        <v>214</v>
      </c>
      <c r="D44" s="3">
        <v>46113</v>
      </c>
      <c r="E44" s="2" t="s">
        <v>14</v>
      </c>
      <c r="F44" s="2" t="s">
        <v>215</v>
      </c>
      <c r="G44" s="2"/>
      <c r="H44" s="2" t="s">
        <v>216</v>
      </c>
      <c r="I44" s="2" t="s">
        <v>104</v>
      </c>
      <c r="J44" s="2" t="s">
        <v>25</v>
      </c>
      <c r="K44" s="2" t="s">
        <v>217</v>
      </c>
      <c r="L44" s="2" t="s">
        <v>218</v>
      </c>
    </row>
    <row r="45" spans="1:12" ht="38.25" customHeight="1" x14ac:dyDescent="0.25">
      <c r="A45" s="2">
        <v>44</v>
      </c>
      <c r="B45" s="2" t="s">
        <v>70</v>
      </c>
      <c r="C45" s="2" t="s">
        <v>219</v>
      </c>
      <c r="D45" s="3">
        <v>46122</v>
      </c>
      <c r="E45" s="2" t="s">
        <v>14</v>
      </c>
      <c r="F45" s="2" t="s">
        <v>215</v>
      </c>
      <c r="G45" s="2"/>
      <c r="H45" s="2" t="s">
        <v>220</v>
      </c>
      <c r="I45" s="2" t="s">
        <v>92</v>
      </c>
      <c r="J45" s="2" t="s">
        <v>17</v>
      </c>
      <c r="K45" s="2" t="s">
        <v>18</v>
      </c>
      <c r="L45" s="2" t="s">
        <v>221</v>
      </c>
    </row>
    <row r="46" spans="1:12" ht="25.5" customHeight="1" x14ac:dyDescent="0.25">
      <c r="A46" s="2">
        <v>45</v>
      </c>
      <c r="B46" s="2" t="s">
        <v>70</v>
      </c>
      <c r="C46" s="2" t="s">
        <v>222</v>
      </c>
      <c r="D46" s="3">
        <v>46128</v>
      </c>
      <c r="E46" s="2" t="s">
        <v>223</v>
      </c>
      <c r="F46" s="2" t="s">
        <v>215</v>
      </c>
      <c r="G46" s="2"/>
      <c r="H46" s="2" t="s">
        <v>224</v>
      </c>
      <c r="I46" s="2" t="s">
        <v>82</v>
      </c>
      <c r="J46" s="2" t="s">
        <v>83</v>
      </c>
      <c r="K46" s="2" t="s">
        <v>225</v>
      </c>
      <c r="L46" s="2" t="s">
        <v>226</v>
      </c>
    </row>
    <row r="47" spans="1:12" ht="25.5" customHeight="1" x14ac:dyDescent="0.25">
      <c r="A47" s="2">
        <v>46</v>
      </c>
      <c r="B47" s="2" t="s">
        <v>70</v>
      </c>
      <c r="C47" s="2" t="s">
        <v>227</v>
      </c>
      <c r="D47" s="3">
        <v>46136</v>
      </c>
      <c r="E47" s="2" t="s">
        <v>228</v>
      </c>
      <c r="F47" s="2" t="s">
        <v>102</v>
      </c>
      <c r="G47" s="2"/>
      <c r="H47" s="2" t="s">
        <v>229</v>
      </c>
      <c r="I47" s="2" t="s">
        <v>51</v>
      </c>
      <c r="J47" s="2" t="s">
        <v>52</v>
      </c>
      <c r="K47" s="2" t="s">
        <v>53</v>
      </c>
      <c r="L47" s="2" t="s">
        <v>230</v>
      </c>
    </row>
    <row r="48" spans="1:12" ht="25.5" customHeight="1" x14ac:dyDescent="0.25">
      <c r="A48" s="2">
        <v>47</v>
      </c>
      <c r="B48" s="2" t="s">
        <v>70</v>
      </c>
      <c r="C48" s="2" t="s">
        <v>231</v>
      </c>
      <c r="D48" s="3">
        <v>46118</v>
      </c>
      <c r="E48" s="2" t="s">
        <v>14</v>
      </c>
      <c r="F48" s="2" t="s">
        <v>14</v>
      </c>
      <c r="G48" s="2"/>
      <c r="H48" s="2" t="s">
        <v>232</v>
      </c>
      <c r="I48" s="2" t="s">
        <v>233</v>
      </c>
      <c r="J48" s="2" t="s">
        <v>52</v>
      </c>
      <c r="K48" s="2" t="s">
        <v>53</v>
      </c>
      <c r="L48" s="2" t="s">
        <v>234</v>
      </c>
    </row>
    <row r="49" spans="1:12" ht="25.5" customHeight="1" x14ac:dyDescent="0.25">
      <c r="A49" s="2">
        <v>48</v>
      </c>
      <c r="B49" s="2" t="s">
        <v>70</v>
      </c>
      <c r="C49" s="2" t="s">
        <v>235</v>
      </c>
      <c r="D49" s="3">
        <v>46106</v>
      </c>
      <c r="E49" s="2" t="s">
        <v>14</v>
      </c>
      <c r="F49" s="2" t="s">
        <v>153</v>
      </c>
      <c r="G49" s="2"/>
      <c r="H49" s="2" t="s">
        <v>236</v>
      </c>
      <c r="I49" s="2" t="s">
        <v>51</v>
      </c>
      <c r="J49" s="2" t="s">
        <v>52</v>
      </c>
      <c r="K49" s="2" t="s">
        <v>237</v>
      </c>
      <c r="L49" s="2" t="s">
        <v>238</v>
      </c>
    </row>
  </sheetData>
  <autoFilter ref="A1:L49"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1"/>
  <sheetViews>
    <sheetView workbookViewId="0"/>
  </sheetViews>
  <sheetFormatPr defaultRowHeight="15" x14ac:dyDescent="0.25"/>
  <cols>
    <col min="1" max="1" width="55" customWidth="1"/>
    <col min="2" max="4" width="12" customWidth="1"/>
  </cols>
  <sheetData>
    <row r="1" spans="1:4" x14ac:dyDescent="0.25">
      <c r="A1" s="1" t="s">
        <v>8</v>
      </c>
      <c r="B1" s="1" t="s">
        <v>239</v>
      </c>
      <c r="C1" s="1" t="s">
        <v>240</v>
      </c>
      <c r="D1" s="1" t="s">
        <v>241</v>
      </c>
    </row>
    <row r="2" spans="1:4" x14ac:dyDescent="0.25">
      <c r="A2" s="2" t="s">
        <v>104</v>
      </c>
      <c r="B2" s="2">
        <f>COUNTIFS(Transcricoes!$B$2:$B$49,"Áudio avulso",Transcricoes!$I$2:$I$49,A2)</f>
        <v>0</v>
      </c>
      <c r="C2" s="2">
        <f>COUNTIFS(Transcricoes!$B$2:$B$49,"Conversa CECATE",Transcricoes!$I$2:$I$49,A2)</f>
        <v>8</v>
      </c>
      <c r="D2" s="2">
        <f t="shared" ref="D2:D17" si="0">B2+C2</f>
        <v>8</v>
      </c>
    </row>
    <row r="3" spans="1:4" x14ac:dyDescent="0.25">
      <c r="A3" s="2" t="s">
        <v>92</v>
      </c>
      <c r="B3" s="2">
        <f>COUNTIFS(Transcricoes!$B$2:$B$49,"Áudio avulso",Transcricoes!$I$2:$I$49,A3)</f>
        <v>0</v>
      </c>
      <c r="C3" s="2">
        <f>COUNTIFS(Transcricoes!$B$2:$B$49,"Conversa CECATE",Transcricoes!$I$2:$I$49,A3)</f>
        <v>7</v>
      </c>
      <c r="D3" s="2">
        <f t="shared" si="0"/>
        <v>7</v>
      </c>
    </row>
    <row r="4" spans="1:4" x14ac:dyDescent="0.25">
      <c r="A4" s="2" t="s">
        <v>82</v>
      </c>
      <c r="B4" s="2">
        <f>COUNTIFS(Transcricoes!$B$2:$B$49,"Áudio avulso",Transcricoes!$I$2:$I$49,A4)</f>
        <v>0</v>
      </c>
      <c r="C4" s="2">
        <f>COUNTIFS(Transcricoes!$B$2:$B$49,"Conversa CECATE",Transcricoes!$I$2:$I$49,A4)</f>
        <v>7</v>
      </c>
      <c r="D4" s="2">
        <f t="shared" si="0"/>
        <v>7</v>
      </c>
    </row>
    <row r="5" spans="1:4" x14ac:dyDescent="0.25">
      <c r="A5" s="2" t="s">
        <v>39</v>
      </c>
      <c r="B5" s="2">
        <f>COUNTIFS(Transcricoes!$B$2:$B$49,"Áudio avulso",Transcricoes!$I$2:$I$49,A5)</f>
        <v>2</v>
      </c>
      <c r="C5" s="2">
        <f>COUNTIFS(Transcricoes!$B$2:$B$49,"Conversa CECATE",Transcricoes!$I$2:$I$49,A5)</f>
        <v>1</v>
      </c>
      <c r="D5" s="2">
        <f t="shared" si="0"/>
        <v>3</v>
      </c>
    </row>
    <row r="6" spans="1:4" x14ac:dyDescent="0.25">
      <c r="A6" s="2" t="s">
        <v>75</v>
      </c>
      <c r="B6" s="2">
        <f>COUNTIFS(Transcricoes!$B$2:$B$49,"Áudio avulso",Transcricoes!$I$2:$I$49,A6)</f>
        <v>0</v>
      </c>
      <c r="C6" s="2">
        <f>COUNTIFS(Transcricoes!$B$2:$B$49,"Conversa CECATE",Transcricoes!$I$2:$I$49,A6)</f>
        <v>4</v>
      </c>
      <c r="D6" s="2">
        <f t="shared" si="0"/>
        <v>4</v>
      </c>
    </row>
    <row r="7" spans="1:4" x14ac:dyDescent="0.25">
      <c r="A7" s="2" t="s">
        <v>61</v>
      </c>
      <c r="B7" s="2">
        <f>COUNTIFS(Transcricoes!$B$2:$B$49,"Áudio avulso",Transcricoes!$I$2:$I$49,A7)</f>
        <v>3</v>
      </c>
      <c r="C7" s="2">
        <f>COUNTIFS(Transcricoes!$B$2:$B$49,"Conversa CECATE",Transcricoes!$I$2:$I$49,A7)</f>
        <v>0</v>
      </c>
      <c r="D7" s="2">
        <f t="shared" si="0"/>
        <v>3</v>
      </c>
    </row>
    <row r="8" spans="1:4" x14ac:dyDescent="0.25">
      <c r="A8" s="2" t="s">
        <v>44</v>
      </c>
      <c r="B8" s="2">
        <f>COUNTIFS(Transcricoes!$B$2:$B$49,"Áudio avulso",Transcricoes!$I$2:$I$49,A8)</f>
        <v>1</v>
      </c>
      <c r="C8" s="2">
        <f>COUNTIFS(Transcricoes!$B$2:$B$49,"Conversa CECATE",Transcricoes!$I$2:$I$49,A8)</f>
        <v>2</v>
      </c>
      <c r="D8" s="2">
        <f t="shared" si="0"/>
        <v>3</v>
      </c>
    </row>
    <row r="9" spans="1:4" x14ac:dyDescent="0.25">
      <c r="A9" s="2" t="s">
        <v>28</v>
      </c>
      <c r="B9" s="2">
        <f>COUNTIFS(Transcricoes!$B$2:$B$49,"Áudio avulso",Transcricoes!$I$2:$I$49,A9)</f>
        <v>1</v>
      </c>
      <c r="C9" s="2">
        <f>COUNTIFS(Transcricoes!$B$2:$B$49,"Conversa CECATE",Transcricoes!$I$2:$I$49,A9)</f>
        <v>0</v>
      </c>
      <c r="D9" s="2">
        <f t="shared" si="0"/>
        <v>1</v>
      </c>
    </row>
    <row r="10" spans="1:4" x14ac:dyDescent="0.25">
      <c r="A10" s="2" t="s">
        <v>16</v>
      </c>
      <c r="B10" s="2">
        <f>COUNTIFS(Transcricoes!$B$2:$B$49,"Áudio avulso",Transcricoes!$I$2:$I$49,A10)</f>
        <v>2</v>
      </c>
      <c r="C10" s="2">
        <f>COUNTIFS(Transcricoes!$B$2:$B$49,"Conversa CECATE",Transcricoes!$I$2:$I$49,A10)</f>
        <v>0</v>
      </c>
      <c r="D10" s="2">
        <f t="shared" si="0"/>
        <v>2</v>
      </c>
    </row>
    <row r="11" spans="1:4" x14ac:dyDescent="0.25">
      <c r="A11" s="2" t="s">
        <v>199</v>
      </c>
      <c r="B11" s="2">
        <f>COUNTIFS(Transcricoes!$B$2:$B$49,"Áudio avulso",Transcricoes!$I$2:$I$49,A11)</f>
        <v>0</v>
      </c>
      <c r="C11" s="2">
        <f>COUNTIFS(Transcricoes!$B$2:$B$49,"Conversa CECATE",Transcricoes!$I$2:$I$49,A11)</f>
        <v>2</v>
      </c>
      <c r="D11" s="2">
        <f t="shared" si="0"/>
        <v>2</v>
      </c>
    </row>
    <row r="12" spans="1:4" x14ac:dyDescent="0.25">
      <c r="A12" s="2" t="s">
        <v>57</v>
      </c>
      <c r="B12" s="2">
        <f>COUNTIFS(Transcricoes!$B$2:$B$49,"Áudio avulso",Transcricoes!$I$2:$I$49,A12)</f>
        <v>1</v>
      </c>
      <c r="C12" s="2">
        <f>COUNTIFS(Transcricoes!$B$2:$B$49,"Conversa CECATE",Transcricoes!$I$2:$I$49,A12)</f>
        <v>0</v>
      </c>
      <c r="D12" s="2">
        <f t="shared" si="0"/>
        <v>1</v>
      </c>
    </row>
    <row r="13" spans="1:4" x14ac:dyDescent="0.25">
      <c r="A13" s="2" t="s">
        <v>24</v>
      </c>
      <c r="B13" s="2">
        <f>COUNTIFS(Transcricoes!$B$2:$B$49,"Áudio avulso",Transcricoes!$I$2:$I$49,A13)</f>
        <v>1</v>
      </c>
      <c r="C13" s="2">
        <f>COUNTIFS(Transcricoes!$B$2:$B$49,"Conversa CECATE",Transcricoes!$I$2:$I$49,A13)</f>
        <v>0</v>
      </c>
      <c r="D13" s="2">
        <f t="shared" si="0"/>
        <v>1</v>
      </c>
    </row>
    <row r="14" spans="1:4" x14ac:dyDescent="0.25">
      <c r="A14" s="2" t="s">
        <v>34</v>
      </c>
      <c r="B14" s="2">
        <f>COUNTIFS(Transcricoes!$B$2:$B$49,"Áudio avulso",Transcricoes!$I$2:$I$49,A14)</f>
        <v>1</v>
      </c>
      <c r="C14" s="2">
        <f>COUNTIFS(Transcricoes!$B$2:$B$49,"Conversa CECATE",Transcricoes!$I$2:$I$49,A14)</f>
        <v>0</v>
      </c>
      <c r="D14" s="2">
        <f t="shared" si="0"/>
        <v>1</v>
      </c>
    </row>
    <row r="15" spans="1:4" x14ac:dyDescent="0.25">
      <c r="A15" s="2" t="s">
        <v>86</v>
      </c>
      <c r="B15" s="2">
        <f>COUNTIFS(Transcricoes!$B$2:$B$49,"Áudio avulso",Transcricoes!$I$2:$I$49,A15)</f>
        <v>0</v>
      </c>
      <c r="C15" s="2">
        <f>COUNTIFS(Transcricoes!$B$2:$B$49,"Conversa CECATE",Transcricoes!$I$2:$I$49,A15)</f>
        <v>1</v>
      </c>
      <c r="D15" s="2">
        <f t="shared" si="0"/>
        <v>1</v>
      </c>
    </row>
    <row r="16" spans="1:4" x14ac:dyDescent="0.25">
      <c r="A16" s="2" t="s">
        <v>51</v>
      </c>
      <c r="B16" s="2">
        <f>COUNTIFS(Transcricoes!$B$2:$B$49,"Áudio avulso",Transcricoes!$I$2:$I$49,A16)</f>
        <v>1</v>
      </c>
      <c r="C16" s="2">
        <f>COUNTIFS(Transcricoes!$B$2:$B$49,"Conversa CECATE",Transcricoes!$I$2:$I$49,A16)</f>
        <v>2</v>
      </c>
      <c r="D16" s="2">
        <f t="shared" si="0"/>
        <v>3</v>
      </c>
    </row>
    <row r="17" spans="1:4" x14ac:dyDescent="0.25">
      <c r="A17" s="2" t="s">
        <v>233</v>
      </c>
      <c r="B17" s="2">
        <f>COUNTIFS(Transcricoes!$B$2:$B$49,"Áudio avulso",Transcricoes!$I$2:$I$49,A17)</f>
        <v>0</v>
      </c>
      <c r="C17" s="2">
        <f>COUNTIFS(Transcricoes!$B$2:$B$49,"Conversa CECATE",Transcricoes!$I$2:$I$49,A17)</f>
        <v>1</v>
      </c>
      <c r="D17" s="2">
        <f t="shared" si="0"/>
        <v>1</v>
      </c>
    </row>
    <row r="18" spans="1:4" x14ac:dyDescent="0.25">
      <c r="A18" s="4" t="s">
        <v>241</v>
      </c>
      <c r="B18" s="4">
        <f>SUM(B2:B17)</f>
        <v>13</v>
      </c>
      <c r="C18" s="4">
        <f>SUM(C2:C17)</f>
        <v>35</v>
      </c>
      <c r="D18" s="4">
        <f>SUM(D2:D17)</f>
        <v>48</v>
      </c>
    </row>
    <row r="20" spans="1:4" x14ac:dyDescent="0.25">
      <c r="A20" s="5" t="s">
        <v>242</v>
      </c>
    </row>
    <row r="21" spans="1:4" x14ac:dyDescent="0.25">
      <c r="A21" s="5" t="s">
        <v>243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5"/>
  <sheetViews>
    <sheetView workbookViewId="0"/>
  </sheetViews>
  <sheetFormatPr defaultRowHeight="15" x14ac:dyDescent="0.25"/>
  <cols>
    <col min="1" max="1" width="18" customWidth="1"/>
    <col min="2" max="2" width="12" customWidth="1"/>
    <col min="3" max="3" width="22" customWidth="1"/>
    <col min="4" max="4" width="12" customWidth="1"/>
  </cols>
  <sheetData>
    <row r="1" spans="1:4" ht="30" customHeight="1" x14ac:dyDescent="0.25">
      <c r="A1" s="1" t="s">
        <v>5</v>
      </c>
      <c r="B1" s="1" t="s">
        <v>239</v>
      </c>
      <c r="C1" s="1" t="s">
        <v>244</v>
      </c>
      <c r="D1" s="1" t="s">
        <v>241</v>
      </c>
    </row>
    <row r="2" spans="1:4" x14ac:dyDescent="0.25">
      <c r="A2" s="2" t="s">
        <v>153</v>
      </c>
      <c r="B2" s="2">
        <f>COUNTIFS(Transcricoes!$B$2:$B$49,"Áudio avulso",Transcricoes!$F$2:$F$49,A2)</f>
        <v>0</v>
      </c>
      <c r="C2" s="2">
        <f>SUMPRODUCT((Transcricoes!$B$2:$B$49="Conversa CECATE")*(Transcricoes!$F$2:$F$49=A2)/COUNTIF(Transcricoes!$C$2:$C$49,Transcricoes!$C$2:$C$49))</f>
        <v>7</v>
      </c>
      <c r="D2" s="2">
        <f t="shared" ref="D2:D12" si="0">B2+C2</f>
        <v>7</v>
      </c>
    </row>
    <row r="3" spans="1:4" x14ac:dyDescent="0.25">
      <c r="A3" s="2" t="s">
        <v>80</v>
      </c>
      <c r="B3" s="2">
        <f>COUNTIFS(Transcricoes!$B$2:$B$49,"Áudio avulso",Transcricoes!$F$2:$F$49,A3)</f>
        <v>0</v>
      </c>
      <c r="C3" s="2">
        <f>SUMPRODUCT((Transcricoes!$B$2:$B$49="Conversa CECATE")*(Transcricoes!$F$2:$F$49=A3)/COUNTIF(Transcricoes!$C$2:$C$49,Transcricoes!$C$2:$C$49))</f>
        <v>1.9999999999999998</v>
      </c>
      <c r="D3" s="2">
        <f t="shared" si="0"/>
        <v>1.9999999999999998</v>
      </c>
    </row>
    <row r="4" spans="1:4" x14ac:dyDescent="0.25">
      <c r="A4" s="2" t="s">
        <v>205</v>
      </c>
      <c r="B4" s="2">
        <f>COUNTIFS(Transcricoes!$B$2:$B$49,"Áudio avulso",Transcricoes!$F$2:$F$49,A4)</f>
        <v>0</v>
      </c>
      <c r="C4" s="2">
        <f>SUMPRODUCT((Transcricoes!$B$2:$B$49="Conversa CECATE")*(Transcricoes!$F$2:$F$49=A4)/COUNTIF(Transcricoes!$C$2:$C$49,Transcricoes!$C$2:$C$49))</f>
        <v>2</v>
      </c>
      <c r="D4" s="2">
        <f t="shared" si="0"/>
        <v>2</v>
      </c>
    </row>
    <row r="5" spans="1:4" x14ac:dyDescent="0.25">
      <c r="A5" s="2" t="s">
        <v>32</v>
      </c>
      <c r="B5" s="2">
        <f>COUNTIFS(Transcricoes!$B$2:$B$49,"Áudio avulso",Transcricoes!$F$2:$F$49,A5)</f>
        <v>1</v>
      </c>
      <c r="C5" s="2">
        <f>SUMPRODUCT((Transcricoes!$B$2:$B$49="Conversa CECATE")*(Transcricoes!$F$2:$F$49=A5)/COUNTIF(Transcricoes!$C$2:$C$49,Transcricoes!$C$2:$C$49))</f>
        <v>2</v>
      </c>
      <c r="D5" s="2">
        <f t="shared" si="0"/>
        <v>3</v>
      </c>
    </row>
    <row r="6" spans="1:4" x14ac:dyDescent="0.25">
      <c r="A6" s="2" t="s">
        <v>215</v>
      </c>
      <c r="B6" s="2">
        <f>COUNTIFS(Transcricoes!$B$2:$B$49,"Áudio avulso",Transcricoes!$F$2:$F$49,A6)</f>
        <v>0</v>
      </c>
      <c r="C6" s="2">
        <f>SUMPRODUCT((Transcricoes!$B$2:$B$49="Conversa CECATE")*(Transcricoes!$F$2:$F$49=A6)/COUNTIF(Transcricoes!$C$2:$C$49,Transcricoes!$C$2:$C$49))</f>
        <v>3</v>
      </c>
      <c r="D6" s="2">
        <f t="shared" si="0"/>
        <v>3</v>
      </c>
    </row>
    <row r="7" spans="1:4" x14ac:dyDescent="0.25">
      <c r="A7" s="2" t="s">
        <v>102</v>
      </c>
      <c r="B7" s="2">
        <f>COUNTIFS(Transcricoes!$B$2:$B$49,"Áudio avulso",Transcricoes!$F$2:$F$49,A7)</f>
        <v>0</v>
      </c>
      <c r="C7" s="2">
        <f>SUMPRODUCT((Transcricoes!$B$2:$B$49="Conversa CECATE")*(Transcricoes!$F$2:$F$49=A7)/COUNTIF(Transcricoes!$C$2:$C$49,Transcricoes!$C$2:$C$49))</f>
        <v>3</v>
      </c>
      <c r="D7" s="2">
        <f t="shared" si="0"/>
        <v>3</v>
      </c>
    </row>
    <row r="8" spans="1:4" x14ac:dyDescent="0.25">
      <c r="A8" s="2" t="s">
        <v>119</v>
      </c>
      <c r="B8" s="2">
        <f>COUNTIFS(Transcricoes!$B$2:$B$49,"Áudio avulso",Transcricoes!$F$2:$F$49,A8)</f>
        <v>0</v>
      </c>
      <c r="C8" s="2">
        <f>SUMPRODUCT((Transcricoes!$B$2:$B$49="Conversa CECATE")*(Transcricoes!$F$2:$F$49=A8)/COUNTIF(Transcricoes!$C$2:$C$49,Transcricoes!$C$2:$C$49))</f>
        <v>6</v>
      </c>
      <c r="D8" s="2">
        <f t="shared" si="0"/>
        <v>6</v>
      </c>
    </row>
    <row r="9" spans="1:4" x14ac:dyDescent="0.25">
      <c r="A9" s="2" t="s">
        <v>114</v>
      </c>
      <c r="B9" s="2">
        <f>COUNTIFS(Transcricoes!$B$2:$B$49,"Áudio avulso",Transcricoes!$F$2:$F$49,A9)</f>
        <v>0</v>
      </c>
      <c r="C9" s="2">
        <f>SUMPRODUCT((Transcricoes!$B$2:$B$49="Conversa CECATE")*(Transcricoes!$F$2:$F$49=A9)/COUNTIF(Transcricoes!$C$2:$C$49,Transcricoes!$C$2:$C$49))</f>
        <v>1</v>
      </c>
      <c r="D9" s="2">
        <f t="shared" si="0"/>
        <v>1</v>
      </c>
    </row>
    <row r="10" spans="1:4" x14ac:dyDescent="0.25">
      <c r="A10" s="2" t="s">
        <v>73</v>
      </c>
      <c r="B10" s="2">
        <f>COUNTIFS(Transcricoes!$B$2:$B$49,"Áudio avulso",Transcricoes!$F$2:$F$49,A10)</f>
        <v>0</v>
      </c>
      <c r="C10" s="2">
        <f>SUMPRODUCT((Transcricoes!$B$2:$B$49="Conversa CECATE")*(Transcricoes!$F$2:$F$49=A10)/COUNTIF(Transcricoes!$C$2:$C$49,Transcricoes!$C$2:$C$49))</f>
        <v>1</v>
      </c>
      <c r="D10" s="2">
        <f t="shared" si="0"/>
        <v>1</v>
      </c>
    </row>
    <row r="11" spans="1:4" x14ac:dyDescent="0.25">
      <c r="A11" s="2" t="s">
        <v>159</v>
      </c>
      <c r="B11" s="2">
        <f>COUNTIFS(Transcricoes!$B$2:$B$49,"Áudio avulso",Transcricoes!$F$2:$F$49,A11)</f>
        <v>0</v>
      </c>
      <c r="C11" s="2">
        <f>SUMPRODUCT((Transcricoes!$B$2:$B$49="Conversa CECATE")*(Transcricoes!$F$2:$F$49=A11)/COUNTIF(Transcricoes!$C$2:$C$49,Transcricoes!$C$2:$C$49))</f>
        <v>1</v>
      </c>
      <c r="D11" s="2">
        <f t="shared" si="0"/>
        <v>1</v>
      </c>
    </row>
    <row r="12" spans="1:4" x14ac:dyDescent="0.25">
      <c r="A12" s="2" t="s">
        <v>14</v>
      </c>
      <c r="B12" s="2">
        <f>COUNTIFS(Transcricoes!$B$2:$B$49,"Áudio avulso",Transcricoes!$F$2:$F$49,A12)</f>
        <v>12</v>
      </c>
      <c r="C12" s="2">
        <f>SUMPRODUCT((Transcricoes!$B$2:$B$49="Conversa CECATE")*(Transcricoes!$F$2:$F$49=A12)/COUNTIF(Transcricoes!$C$2:$C$49,Transcricoes!$C$2:$C$49))</f>
        <v>1</v>
      </c>
      <c r="D12" s="2">
        <f t="shared" si="0"/>
        <v>13</v>
      </c>
    </row>
    <row r="13" spans="1:4" x14ac:dyDescent="0.25">
      <c r="A13" s="4" t="s">
        <v>241</v>
      </c>
      <c r="B13" s="4">
        <f>SUM(B2:B12)</f>
        <v>13</v>
      </c>
      <c r="C13" s="4">
        <f>SUM(C2:C12)</f>
        <v>29</v>
      </c>
      <c r="D13" s="4">
        <f>SUM(D2:D12)</f>
        <v>42</v>
      </c>
    </row>
    <row r="15" spans="1:4" x14ac:dyDescent="0.25">
      <c r="A15" s="5" t="s">
        <v>245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Transcricoes</vt:lpstr>
      <vt:lpstr>Resumo por tema</vt:lpstr>
      <vt:lpstr>Resumo por estado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Liosber Medina</cp:lastModifiedBy>
  <dcterms:created xsi:type="dcterms:W3CDTF">2026-09-29T11:25:49Z</dcterms:created>
  <dcterms:modified xsi:type="dcterms:W3CDTF">2026-09-30T17:36:08Z</dcterms:modified>
</cp:coreProperties>
</file>